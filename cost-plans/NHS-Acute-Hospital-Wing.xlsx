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s\project-cost-control\cost-plans\"/>
    </mc:Choice>
  </mc:AlternateContent>
  <xr:revisionPtr revIDLastSave="0" documentId="13_ncr:1_{F0C802EC-DCA2-414A-97D1-74503BD634BC}" xr6:coauthVersionLast="47" xr6:coauthVersionMax="47" xr10:uidLastSave="{00000000-0000-0000-0000-000000000000}"/>
  <bookViews>
    <workbookView xWindow="-103" yWindow="-103" windowWidth="24892" windowHeight="14092" activeTab="2" xr2:uid="{0C8C6BE1-598D-4333-9AA5-A074653745B1}"/>
  </bookViews>
  <sheets>
    <sheet name="Cost Plan" sheetId="1" r:id="rId1"/>
    <sheet name="CVR" sheetId="2" r:id="rId2"/>
    <sheet name="Projec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1048576" i="2"/>
  <c r="C1048576" i="2"/>
  <c r="F6" i="2"/>
  <c r="G6" i="2" s="1"/>
  <c r="F7" i="2"/>
  <c r="G7" i="2" s="1"/>
  <c r="F8" i="2"/>
  <c r="G8" i="2" s="1"/>
  <c r="F9" i="2"/>
  <c r="G9" i="2" s="1"/>
  <c r="F10" i="2"/>
  <c r="G10" i="2" s="1"/>
  <c r="F5" i="2"/>
  <c r="G5" i="2" s="1"/>
  <c r="D6" i="2"/>
  <c r="E6" i="2" s="1"/>
  <c r="D7" i="2"/>
  <c r="E7" i="2" s="1"/>
  <c r="D8" i="2"/>
  <c r="E8" i="2" s="1"/>
  <c r="D9" i="2"/>
  <c r="E9" i="2" s="1"/>
  <c r="D10" i="2"/>
  <c r="E10" i="2" s="1"/>
  <c r="D5" i="2"/>
  <c r="E5" i="2" s="1"/>
  <c r="I19" i="1"/>
  <c r="I24" i="1"/>
  <c r="I25" i="1"/>
  <c r="I26" i="1"/>
  <c r="H20" i="1"/>
  <c r="H15" i="1"/>
  <c r="H8" i="1"/>
  <c r="H5" i="1"/>
  <c r="G20" i="1"/>
  <c r="G15" i="1"/>
  <c r="G8" i="1"/>
  <c r="G5" i="1"/>
  <c r="G27" i="1" s="1"/>
  <c r="F20" i="1"/>
  <c r="F15" i="1"/>
  <c r="F8" i="1"/>
  <c r="F5" i="1"/>
  <c r="E6" i="1"/>
  <c r="J5" i="1" s="1"/>
  <c r="E7" i="1"/>
  <c r="I7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6" i="1"/>
  <c r="I16" i="1" s="1"/>
  <c r="E17" i="1"/>
  <c r="I17" i="1" s="1"/>
  <c r="E18" i="1"/>
  <c r="I18" i="1" s="1"/>
  <c r="E19" i="1"/>
  <c r="E21" i="1"/>
  <c r="I21" i="1" s="1"/>
  <c r="E22" i="1"/>
  <c r="I22" i="1" s="1"/>
  <c r="E23" i="1"/>
  <c r="I23" i="1" s="1"/>
  <c r="E24" i="1"/>
  <c r="E25" i="1"/>
  <c r="E26" i="1"/>
  <c r="D20" i="1"/>
  <c r="E20" i="1" s="1"/>
  <c r="I20" i="1" s="1"/>
  <c r="D15" i="1"/>
  <c r="E15" i="1" s="1"/>
  <c r="D8" i="1"/>
  <c r="C20" i="1"/>
  <c r="C15" i="1"/>
  <c r="C8" i="1"/>
  <c r="I15" i="1" l="1"/>
  <c r="J15" i="1"/>
  <c r="J20" i="1"/>
  <c r="H27" i="1"/>
  <c r="F27" i="1"/>
  <c r="E8" i="1"/>
  <c r="I8" i="1" s="1"/>
  <c r="J8" i="1"/>
  <c r="I6" i="1"/>
  <c r="D27" i="1"/>
  <c r="C5" i="1"/>
  <c r="E5" i="1" l="1"/>
  <c r="C27" i="1"/>
  <c r="E27" i="1" l="1"/>
  <c r="I27" i="1" s="1"/>
  <c r="J27" i="1"/>
  <c r="I5" i="1"/>
</calcChain>
</file>

<file path=xl/sharedStrings.xml><?xml version="1.0" encoding="utf-8"?>
<sst xmlns="http://schemas.openxmlformats.org/spreadsheetml/2006/main" count="79" uniqueCount="78">
  <si>
    <t>Project Name</t>
  </si>
  <si>
    <t>NHS Acute Hospital Wing</t>
  </si>
  <si>
    <t>Client</t>
  </si>
  <si>
    <t>Manchester University NHS Foundation Trust</t>
  </si>
  <si>
    <t>Contract Type</t>
  </si>
  <si>
    <t>JCT Design and Build 2016</t>
  </si>
  <si>
    <t>Project Value</t>
  </si>
  <si>
    <t>Start Date</t>
  </si>
  <si>
    <t>Completion Date</t>
  </si>
  <si>
    <t>Project Manager</t>
  </si>
  <si>
    <t>Status</t>
  </si>
  <si>
    <t>In Progress</t>
  </si>
  <si>
    <t>% Complete</t>
  </si>
  <si>
    <t>Meridian Cost Consultants</t>
  </si>
  <si>
    <t>NHS Acute Hospital Wing — Elemental Cost Plan</t>
  </si>
  <si>
    <t>Element Ref</t>
  </si>
  <si>
    <t>Element Description</t>
  </si>
  <si>
    <t>Budget (£)</t>
  </si>
  <si>
    <t>Authorised Changes (£)</t>
  </si>
  <si>
    <t>Revised Budget (£)</t>
  </si>
  <si>
    <t>Committed (£)</t>
  </si>
  <si>
    <t>Actual to Date (£)</t>
  </si>
  <si>
    <t>Forecast Final Cost (£)</t>
  </si>
  <si>
    <t>Variance (£)</t>
  </si>
  <si>
    <t>1.0</t>
  </si>
  <si>
    <t>1.1</t>
  </si>
  <si>
    <t>1.2</t>
  </si>
  <si>
    <t>2.0</t>
  </si>
  <si>
    <t>2.1</t>
  </si>
  <si>
    <t>2.2</t>
  </si>
  <si>
    <t>2.3</t>
  </si>
  <si>
    <t>2.4</t>
  </si>
  <si>
    <t>2.5</t>
  </si>
  <si>
    <t>2.6</t>
  </si>
  <si>
    <t>3.0</t>
  </si>
  <si>
    <t>3.1</t>
  </si>
  <si>
    <t>3.2</t>
  </si>
  <si>
    <t>3.3</t>
  </si>
  <si>
    <t>4.0</t>
  </si>
  <si>
    <t>5.0</t>
  </si>
  <si>
    <t>5.1</t>
  </si>
  <si>
    <t>5.2</t>
  </si>
  <si>
    <t>5.3</t>
  </si>
  <si>
    <t>6.0</t>
  </si>
  <si>
    <t>7.0</t>
  </si>
  <si>
    <t>8.0</t>
  </si>
  <si>
    <t>Substructure</t>
  </si>
  <si>
    <t>Foundations</t>
  </si>
  <si>
    <t>Basement &amp; Ground Floor Slab</t>
  </si>
  <si>
    <t>Superstructure</t>
  </si>
  <si>
    <t>Frame &amp; Upper Floors</t>
  </si>
  <si>
    <t>Roof</t>
  </si>
  <si>
    <t>Staircases &amp; Lifts</t>
  </si>
  <si>
    <t>External Walls &amp; Windows</t>
  </si>
  <si>
    <t>Internal Walls &amp; Partitions</t>
  </si>
  <si>
    <t>Internal Doors</t>
  </si>
  <si>
    <t>Internal Finishes</t>
  </si>
  <si>
    <t>Wall Finishes</t>
  </si>
  <si>
    <t>Floor Finishes</t>
  </si>
  <si>
    <t>Ceiling Finishes</t>
  </si>
  <si>
    <t>Fittings &amp; Furnishings</t>
  </si>
  <si>
    <t>Services (MEP)</t>
  </si>
  <si>
    <t>Mechanical</t>
  </si>
  <si>
    <t>Electrical</t>
  </si>
  <si>
    <t>Medical Gas &amp; Specialist Services</t>
  </si>
  <si>
    <t>External Works</t>
  </si>
  <si>
    <t>Preliminaries</t>
  </si>
  <si>
    <t>Contingency</t>
  </si>
  <si>
    <t>Total Project Cost</t>
  </si>
  <si>
    <t>NHS Acute Hospital Wing — Cost Value Reconciliation</t>
  </si>
  <si>
    <t>Meridian Cost Consultants | Reporting Period: September 2024</t>
  </si>
  <si>
    <t>Month</t>
  </si>
  <si>
    <t>Cumulative Value (£)</t>
  </si>
  <si>
    <t>Cumulative Cost (£)</t>
  </si>
  <si>
    <t>Gross Margin (£)</t>
  </si>
  <si>
    <t>Margin %</t>
  </si>
  <si>
    <t>CPI</t>
  </si>
  <si>
    <t>EAC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</si>
</sst>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71" formatCode="_-* #,##0_-;\-* #,##0_-;_-* &quot;-&quot;??_-;_-@_-"/>
    <numFmt numFmtId="174" formatCode="&quot;£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1" fillId="3" borderId="0" xfId="1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  <xf numFmtId="49" fontId="1" fillId="3" borderId="0" xfId="1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1" fontId="2" fillId="4" borderId="0" xfId="0" applyNumberFormat="1" applyFont="1" applyFill="1"/>
    <xf numFmtId="1" fontId="0" fillId="5" borderId="0" xfId="0" applyNumberFormat="1" applyFill="1"/>
    <xf numFmtId="1" fontId="0" fillId="6" borderId="0" xfId="0" applyNumberFormat="1" applyFill="1"/>
    <xf numFmtId="1" fontId="2" fillId="3" borderId="0" xfId="0" applyNumberFormat="1" applyFont="1" applyFill="1"/>
    <xf numFmtId="9" fontId="2" fillId="4" borderId="0" xfId="2" applyFont="1" applyFill="1"/>
    <xf numFmtId="9" fontId="0" fillId="5" borderId="0" xfId="2" applyFont="1" applyFill="1"/>
    <xf numFmtId="9" fontId="0" fillId="6" borderId="0" xfId="2" applyFont="1" applyFill="1"/>
    <xf numFmtId="9" fontId="2" fillId="3" borderId="0" xfId="2" applyFont="1" applyFill="1"/>
    <xf numFmtId="0" fontId="1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1" fillId="3" borderId="0" xfId="0" applyFont="1" applyFill="1"/>
    <xf numFmtId="17" fontId="0" fillId="5" borderId="1" xfId="0" applyNumberFormat="1" applyFill="1" applyBorder="1"/>
    <xf numFmtId="171" fontId="0" fillId="5" borderId="0" xfId="3" applyNumberFormat="1" applyFont="1" applyFill="1" applyBorder="1"/>
    <xf numFmtId="164" fontId="0" fillId="5" borderId="0" xfId="2" applyNumberFormat="1" applyFont="1" applyFill="1" applyBorder="1"/>
    <xf numFmtId="2" fontId="0" fillId="5" borderId="0" xfId="0" applyNumberFormat="1" applyFill="1" applyBorder="1"/>
    <xf numFmtId="171" fontId="0" fillId="5" borderId="2" xfId="3" applyNumberFormat="1" applyFont="1" applyFill="1" applyBorder="1"/>
    <xf numFmtId="17" fontId="0" fillId="0" borderId="1" xfId="0" applyNumberFormat="1" applyBorder="1"/>
    <xf numFmtId="171" fontId="0" fillId="0" borderId="0" xfId="3" applyNumberFormat="1" applyFont="1" applyBorder="1"/>
    <xf numFmtId="164" fontId="0" fillId="0" borderId="0" xfId="2" applyNumberFormat="1" applyFont="1" applyBorder="1"/>
    <xf numFmtId="2" fontId="0" fillId="0" borderId="0" xfId="0" applyNumberFormat="1" applyBorder="1"/>
    <xf numFmtId="171" fontId="0" fillId="0" borderId="2" xfId="3" applyNumberFormat="1" applyFont="1" applyBorder="1"/>
    <xf numFmtId="17" fontId="0" fillId="0" borderId="3" xfId="0" applyNumberFormat="1" applyBorder="1"/>
    <xf numFmtId="171" fontId="0" fillId="0" borderId="4" xfId="3" applyNumberFormat="1" applyFont="1" applyBorder="1"/>
    <xf numFmtId="164" fontId="0" fillId="0" borderId="4" xfId="2" applyNumberFormat="1" applyFont="1" applyBorder="1"/>
    <xf numFmtId="2" fontId="0" fillId="0" borderId="4" xfId="0" applyNumberFormat="1" applyBorder="1"/>
    <xf numFmtId="171" fontId="0" fillId="0" borderId="5" xfId="3" applyNumberFormat="1" applyFont="1" applyBorder="1"/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38" fontId="0" fillId="5" borderId="0" xfId="3" applyNumberFormat="1" applyFont="1" applyFill="1" applyBorder="1"/>
    <xf numFmtId="38" fontId="0" fillId="0" borderId="0" xfId="3" applyNumberFormat="1" applyFont="1" applyBorder="1"/>
    <xf numFmtId="38" fontId="0" fillId="0" borderId="4" xfId="3" applyNumberFormat="1" applyFont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174" fontId="6" fillId="6" borderId="0" xfId="0" applyNumberFormat="1" applyFont="1" applyFill="1" applyBorder="1" applyAlignment="1">
      <alignment horizontal="left"/>
    </xf>
    <xf numFmtId="14" fontId="6" fillId="5" borderId="0" xfId="0" applyNumberFormat="1" applyFont="1" applyFill="1" applyBorder="1" applyAlignment="1">
      <alignment horizontal="left"/>
    </xf>
    <xf numFmtId="14" fontId="6" fillId="6" borderId="0" xfId="0" applyNumberFormat="1" applyFont="1" applyFill="1" applyBorder="1" applyAlignment="1">
      <alignment horizontal="left"/>
    </xf>
  </cellXfs>
  <cellStyles count="4">
    <cellStyle name="Accent1" xfId="1" builtinId="29"/>
    <cellStyle name="Comma" xfId="3" builtinId="3"/>
    <cellStyle name="Normal" xfId="0" builtinId="0"/>
    <cellStyle name="Per cent" xfId="2" builtinId="5"/>
  </cellStyles>
  <dxfs count="5">
    <dxf>
      <font>
        <b/>
        <i val="0"/>
        <color theme="0"/>
      </font>
      <fill>
        <patternFill>
          <bgColor rgb="FF70AD4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AD4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D9D9D9"/>
      <color rgb="FF2E5496"/>
      <color rgb="FF1F3864"/>
      <color rgb="FF70AD47"/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Value vs Cost — NHS Acute Hospital Wing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CVR!$B$4</c:f>
              <c:strCache>
                <c:ptCount val="1"/>
                <c:pt idx="0">
                  <c:v>Cumulative Value (£)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1F3864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1.6969695761016267E-2"/>
                  <c:y val="7.10655020581443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67-424D-8F78-650AFDB2B1C9}"/>
                </c:ext>
              </c:extLst>
            </c:dLbl>
            <c:numFmt formatCode="&quot;£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CVR!$A$5:$A$10</c:f>
              <c:numCache>
                <c:formatCode>mmm\-yy</c:formatCode>
                <c:ptCount val="6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</c:numCache>
            </c:numRef>
          </c:cat>
          <c:val>
            <c:numRef>
              <c:f>CVR!$B$5:$B$10</c:f>
              <c:numCache>
                <c:formatCode>_-* #,##0_-;\-* #,##0_-;_-* "-"??_-;_-@_-</c:formatCode>
                <c:ptCount val="6"/>
                <c:pt idx="0">
                  <c:v>850000</c:v>
                </c:pt>
                <c:pt idx="1">
                  <c:v>1920000</c:v>
                </c:pt>
                <c:pt idx="2">
                  <c:v>3450000</c:v>
                </c:pt>
                <c:pt idx="3">
                  <c:v>5280000</c:v>
                </c:pt>
                <c:pt idx="4">
                  <c:v>8640000</c:v>
                </c:pt>
                <c:pt idx="5">
                  <c:v>11850000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7-424D-8F78-650AFDB2B1C9}"/>
            </c:ext>
          </c:extLst>
        </c:ser>
        <c:ser>
          <c:idx val="1"/>
          <c:order val="1"/>
          <c:tx>
            <c:strRef>
              <c:f>CVR!$C$4</c:f>
              <c:strCache>
                <c:ptCount val="1"/>
                <c:pt idx="0">
                  <c:v>Cumulative Cost (£)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8.2400114740059094E-2"/>
                  <c:y val="-6.0082038925462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67-424D-8F78-650AFDB2B1C9}"/>
                </c:ext>
              </c:extLst>
            </c:dLbl>
            <c:numFmt formatCode="&quot;£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CVR!$A$5:$A$10</c:f>
              <c:numCache>
                <c:formatCode>mmm\-yy</c:formatCode>
                <c:ptCount val="6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</c:numCache>
            </c:numRef>
          </c:cat>
          <c:val>
            <c:numRef>
              <c:f>CVR!$C$5:$C$10</c:f>
              <c:numCache>
                <c:formatCode>_-* #,##0_-;\-* #,##0_-;_-* "-"??_-;_-@_-</c:formatCode>
                <c:ptCount val="6"/>
                <c:pt idx="0">
                  <c:v>820000</c:v>
                </c:pt>
                <c:pt idx="1">
                  <c:v>1850000</c:v>
                </c:pt>
                <c:pt idx="2">
                  <c:v>3350000</c:v>
                </c:pt>
                <c:pt idx="3">
                  <c:v>5180000</c:v>
                </c:pt>
                <c:pt idx="4">
                  <c:v>8750000</c:v>
                </c:pt>
                <c:pt idx="5">
                  <c:v>12254650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7-424D-8F78-650AFDB2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57632"/>
        <c:axId val="1240059072"/>
      </c:lineChart>
      <c:dateAx>
        <c:axId val="124005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9072"/>
        <c:crosses val="autoZero"/>
        <c:auto val="1"/>
        <c:lblOffset val="100"/>
        <c:baseTimeUnit val="months"/>
      </c:dateAx>
      <c:valAx>
        <c:axId val="12400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2720</xdr:colOff>
      <xdr:row>11</xdr:row>
      <xdr:rowOff>19050</xdr:rowOff>
    </xdr:from>
    <xdr:to>
      <xdr:col>6</xdr:col>
      <xdr:colOff>1159328</xdr:colOff>
      <xdr:row>29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E3656-B091-E91D-957A-6A1A3B010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ADDD4B-ED9F-435E-AC38-9852B63407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e0ff0a3-417f-49c5-a90f-eb41d57900c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A9C0-9C58-4F75-869D-8D1A35F325AC}">
  <dimension ref="A1:J27"/>
  <sheetViews>
    <sheetView workbookViewId="0">
      <selection activeCell="A3" sqref="A3"/>
    </sheetView>
  </sheetViews>
  <sheetFormatPr defaultRowHeight="14.6" outlineLevelRow="1" x14ac:dyDescent="0.4"/>
  <cols>
    <col min="1" max="1" width="12.69140625" style="2" customWidth="1"/>
    <col min="2" max="2" width="35.69140625" customWidth="1"/>
    <col min="3" max="3" width="16.69140625" customWidth="1"/>
    <col min="4" max="4" width="20.69140625" customWidth="1"/>
    <col min="5" max="7" width="16.69140625" customWidth="1"/>
    <col min="8" max="8" width="20.69140625" customWidth="1"/>
    <col min="9" max="9" width="16.69140625" customWidth="1"/>
    <col min="10" max="10" width="14.69140625" customWidth="1"/>
  </cols>
  <sheetData>
    <row r="1" spans="1:10" ht="35.049999999999997" customHeight="1" x14ac:dyDescent="0.4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25" customHeight="1" x14ac:dyDescent="0.4">
      <c r="A2" s="39" t="str">
        <f ca="1">"Meridian Cost Consultants | Report Date: "&amp;TEXT(TODAY(),"DD MMMM YYYY")</f>
        <v>Meridian Cost Consultants | Report Date: 13 May 2026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ht="30" customHeight="1" x14ac:dyDescent="0.4">
      <c r="A4" s="7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12</v>
      </c>
    </row>
    <row r="5" spans="1:10" x14ac:dyDescent="0.4">
      <c r="A5" s="8" t="s">
        <v>24</v>
      </c>
      <c r="B5" s="3" t="s">
        <v>46</v>
      </c>
      <c r="C5" s="3">
        <f>SUM(C6:C7)</f>
        <v>800000</v>
      </c>
      <c r="D5" s="11"/>
      <c r="E5" s="3">
        <f>SUM(C5:D5)</f>
        <v>800000</v>
      </c>
      <c r="F5" s="3">
        <f>SUM(F6:F7)</f>
        <v>800000</v>
      </c>
      <c r="G5" s="3">
        <f>SUM(G6:G7)</f>
        <v>720000</v>
      </c>
      <c r="H5" s="3">
        <f>SUM(H6:H7)</f>
        <v>805000</v>
      </c>
      <c r="I5" s="19">
        <f>E5-H5</f>
        <v>-5000</v>
      </c>
      <c r="J5" s="15">
        <f>SUMPRODUCT(E6:E7, J6:J7)/SUM(E6:E7)</f>
        <v>1</v>
      </c>
    </row>
    <row r="6" spans="1:10" outlineLevel="1" x14ac:dyDescent="0.4">
      <c r="A6" s="9" t="s">
        <v>25</v>
      </c>
      <c r="B6" s="5" t="s">
        <v>47</v>
      </c>
      <c r="C6" s="5">
        <v>540000</v>
      </c>
      <c r="D6" s="12"/>
      <c r="E6" s="5">
        <f t="shared" ref="E6:E26" si="0">SUM(C6:D6)</f>
        <v>540000</v>
      </c>
      <c r="F6" s="5">
        <v>540000</v>
      </c>
      <c r="G6" s="5">
        <v>486000</v>
      </c>
      <c r="H6" s="5">
        <v>540000</v>
      </c>
      <c r="I6" s="20">
        <f t="shared" ref="I6:I27" si="1">E6-H6</f>
        <v>0</v>
      </c>
      <c r="J6" s="16">
        <v>1</v>
      </c>
    </row>
    <row r="7" spans="1:10" outlineLevel="1" x14ac:dyDescent="0.4">
      <c r="A7" s="10" t="s">
        <v>26</v>
      </c>
      <c r="B7" s="6" t="s">
        <v>48</v>
      </c>
      <c r="C7" s="6">
        <v>260000</v>
      </c>
      <c r="D7" s="13"/>
      <c r="E7" s="6">
        <f t="shared" si="0"/>
        <v>260000</v>
      </c>
      <c r="F7" s="6">
        <v>260000</v>
      </c>
      <c r="G7" s="6">
        <v>234000</v>
      </c>
      <c r="H7" s="6">
        <v>265000</v>
      </c>
      <c r="I7" s="21">
        <f t="shared" si="1"/>
        <v>-5000</v>
      </c>
      <c r="J7" s="17">
        <v>1</v>
      </c>
    </row>
    <row r="8" spans="1:10" x14ac:dyDescent="0.4">
      <c r="A8" s="8" t="s">
        <v>27</v>
      </c>
      <c r="B8" s="3" t="s">
        <v>49</v>
      </c>
      <c r="C8" s="3">
        <f>SUM(C9:C14)</f>
        <v>4290000</v>
      </c>
      <c r="D8" s="11">
        <f>SUM(D9:D14)</f>
        <v>45000</v>
      </c>
      <c r="E8" s="3">
        <f t="shared" si="0"/>
        <v>4335000</v>
      </c>
      <c r="F8" s="3">
        <f>SUM(F9:F14)</f>
        <v>4121000</v>
      </c>
      <c r="G8" s="3">
        <f>SUM(G9:G14)</f>
        <v>3708950</v>
      </c>
      <c r="H8" s="3">
        <f>SUM(H9:H14)</f>
        <v>4315000</v>
      </c>
      <c r="I8" s="19">
        <f t="shared" si="1"/>
        <v>20000</v>
      </c>
      <c r="J8" s="15">
        <f>SUMPRODUCT(E9:E14,J9:J14)/SUM(E9:E14)</f>
        <v>0.92612456747404848</v>
      </c>
    </row>
    <row r="9" spans="1:10" outlineLevel="1" x14ac:dyDescent="0.4">
      <c r="A9" s="9" t="s">
        <v>28</v>
      </c>
      <c r="B9" s="5" t="s">
        <v>50</v>
      </c>
      <c r="C9" s="5">
        <v>1800000</v>
      </c>
      <c r="D9" s="12"/>
      <c r="E9" s="5">
        <f t="shared" si="0"/>
        <v>1800000</v>
      </c>
      <c r="F9" s="5">
        <v>1800000</v>
      </c>
      <c r="G9" s="5">
        <v>1620000</v>
      </c>
      <c r="H9" s="5">
        <v>1800000</v>
      </c>
      <c r="I9" s="20">
        <f t="shared" si="1"/>
        <v>0</v>
      </c>
      <c r="J9" s="16">
        <v>1</v>
      </c>
    </row>
    <row r="10" spans="1:10" outlineLevel="1" x14ac:dyDescent="0.4">
      <c r="A10" s="10" t="s">
        <v>29</v>
      </c>
      <c r="B10" s="6" t="s">
        <v>51</v>
      </c>
      <c r="C10" s="6">
        <v>650000</v>
      </c>
      <c r="D10" s="13"/>
      <c r="E10" s="6">
        <f t="shared" si="0"/>
        <v>650000</v>
      </c>
      <c r="F10" s="6">
        <v>650000</v>
      </c>
      <c r="G10" s="6">
        <v>585000</v>
      </c>
      <c r="H10" s="6">
        <v>650000</v>
      </c>
      <c r="I10" s="21">
        <f t="shared" si="1"/>
        <v>0</v>
      </c>
      <c r="J10" s="17">
        <v>1</v>
      </c>
    </row>
    <row r="11" spans="1:10" outlineLevel="1" x14ac:dyDescent="0.4">
      <c r="A11" s="9" t="s">
        <v>30</v>
      </c>
      <c r="B11" s="5" t="s">
        <v>52</v>
      </c>
      <c r="C11" s="5">
        <v>280000</v>
      </c>
      <c r="D11" s="12"/>
      <c r="E11" s="5">
        <f t="shared" si="0"/>
        <v>280000</v>
      </c>
      <c r="F11" s="5">
        <v>266000</v>
      </c>
      <c r="G11" s="5">
        <v>239400</v>
      </c>
      <c r="H11" s="5">
        <v>272000</v>
      </c>
      <c r="I11" s="20">
        <f t="shared" si="1"/>
        <v>8000</v>
      </c>
      <c r="J11" s="16">
        <v>0.95</v>
      </c>
    </row>
    <row r="12" spans="1:10" outlineLevel="1" x14ac:dyDescent="0.4">
      <c r="A12" s="10" t="s">
        <v>31</v>
      </c>
      <c r="B12" s="6" t="s">
        <v>53</v>
      </c>
      <c r="C12" s="6">
        <v>950000</v>
      </c>
      <c r="D12" s="13">
        <v>45000</v>
      </c>
      <c r="E12" s="6">
        <f t="shared" si="0"/>
        <v>995000</v>
      </c>
      <c r="F12" s="6">
        <v>895500</v>
      </c>
      <c r="G12" s="6">
        <v>806000</v>
      </c>
      <c r="H12" s="6">
        <v>1045000</v>
      </c>
      <c r="I12" s="21">
        <f t="shared" si="1"/>
        <v>-50000</v>
      </c>
      <c r="J12" s="17">
        <v>0.85</v>
      </c>
    </row>
    <row r="13" spans="1:10" outlineLevel="1" x14ac:dyDescent="0.4">
      <c r="A13" s="9" t="s">
        <v>32</v>
      </c>
      <c r="B13" s="5" t="s">
        <v>54</v>
      </c>
      <c r="C13" s="5">
        <v>520000</v>
      </c>
      <c r="D13" s="12"/>
      <c r="E13" s="5">
        <f t="shared" si="0"/>
        <v>520000</v>
      </c>
      <c r="F13" s="5">
        <v>442000</v>
      </c>
      <c r="G13" s="5">
        <v>397800</v>
      </c>
      <c r="H13" s="5">
        <v>476000</v>
      </c>
      <c r="I13" s="20">
        <f t="shared" si="1"/>
        <v>44000</v>
      </c>
      <c r="J13" s="16">
        <v>0.75</v>
      </c>
    </row>
    <row r="14" spans="1:10" outlineLevel="1" x14ac:dyDescent="0.4">
      <c r="A14" s="10" t="s">
        <v>33</v>
      </c>
      <c r="B14" s="6" t="s">
        <v>55</v>
      </c>
      <c r="C14" s="6">
        <v>90000</v>
      </c>
      <c r="D14" s="13"/>
      <c r="E14" s="6">
        <f t="shared" si="0"/>
        <v>90000</v>
      </c>
      <c r="F14" s="6">
        <v>67500</v>
      </c>
      <c r="G14" s="6">
        <v>60750</v>
      </c>
      <c r="H14" s="6">
        <v>72000</v>
      </c>
      <c r="I14" s="21">
        <f t="shared" si="1"/>
        <v>18000</v>
      </c>
      <c r="J14" s="17">
        <v>0.7</v>
      </c>
    </row>
    <row r="15" spans="1:10" x14ac:dyDescent="0.4">
      <c r="A15" s="8" t="s">
        <v>34</v>
      </c>
      <c r="B15" s="3" t="s">
        <v>56</v>
      </c>
      <c r="C15" s="3">
        <f>SUM(C16:C18)</f>
        <v>790000</v>
      </c>
      <c r="D15" s="11">
        <f>SUM(D16:D18)</f>
        <v>28000</v>
      </c>
      <c r="E15" s="3">
        <f t="shared" si="0"/>
        <v>818000</v>
      </c>
      <c r="F15" s="3">
        <f>SUM(F16:F18)</f>
        <v>626500</v>
      </c>
      <c r="G15" s="3">
        <f>SUM(G16:G18)</f>
        <v>501200</v>
      </c>
      <c r="H15" s="3">
        <f>SUM(H16:H18)</f>
        <v>842000</v>
      </c>
      <c r="I15" s="19">
        <f t="shared" si="1"/>
        <v>-24000</v>
      </c>
      <c r="J15" s="15">
        <f>SUMPRODUCT(E16:E18,J16:J18)/SUM(E16:E18)</f>
        <v>0.61589242053789728</v>
      </c>
    </row>
    <row r="16" spans="1:10" outlineLevel="1" x14ac:dyDescent="0.4">
      <c r="A16" s="9" t="s">
        <v>35</v>
      </c>
      <c r="B16" s="5" t="s">
        <v>57</v>
      </c>
      <c r="C16" s="5">
        <v>380000</v>
      </c>
      <c r="D16" s="12"/>
      <c r="E16" s="5">
        <f t="shared" si="0"/>
        <v>380000</v>
      </c>
      <c r="F16" s="5">
        <v>304000</v>
      </c>
      <c r="G16" s="5">
        <v>243200</v>
      </c>
      <c r="H16" s="5">
        <v>391000</v>
      </c>
      <c r="I16" s="20">
        <f t="shared" si="1"/>
        <v>-11000</v>
      </c>
      <c r="J16" s="16">
        <v>0.65</v>
      </c>
    </row>
    <row r="17" spans="1:10" outlineLevel="1" x14ac:dyDescent="0.4">
      <c r="A17" s="10" t="s">
        <v>36</v>
      </c>
      <c r="B17" s="6" t="s">
        <v>58</v>
      </c>
      <c r="C17" s="6">
        <v>290000</v>
      </c>
      <c r="D17" s="13">
        <v>28000</v>
      </c>
      <c r="E17" s="6">
        <f t="shared" si="0"/>
        <v>318000</v>
      </c>
      <c r="F17" s="6">
        <v>238500</v>
      </c>
      <c r="G17" s="6">
        <v>190800</v>
      </c>
      <c r="H17" s="6">
        <v>325000</v>
      </c>
      <c r="I17" s="21">
        <f t="shared" si="1"/>
        <v>-7000</v>
      </c>
      <c r="J17" s="17">
        <v>0.6</v>
      </c>
    </row>
    <row r="18" spans="1:10" outlineLevel="1" x14ac:dyDescent="0.4">
      <c r="A18" s="9" t="s">
        <v>37</v>
      </c>
      <c r="B18" s="5" t="s">
        <v>59</v>
      </c>
      <c r="C18" s="5">
        <v>120000</v>
      </c>
      <c r="D18" s="12"/>
      <c r="E18" s="5">
        <f t="shared" si="0"/>
        <v>120000</v>
      </c>
      <c r="F18" s="5">
        <v>84000</v>
      </c>
      <c r="G18" s="5">
        <v>67200</v>
      </c>
      <c r="H18" s="5">
        <v>126000</v>
      </c>
      <c r="I18" s="20">
        <f t="shared" si="1"/>
        <v>-6000</v>
      </c>
      <c r="J18" s="16">
        <v>0.55000000000000004</v>
      </c>
    </row>
    <row r="19" spans="1:10" x14ac:dyDescent="0.4">
      <c r="A19" s="8" t="s">
        <v>38</v>
      </c>
      <c r="B19" s="3" t="s">
        <v>60</v>
      </c>
      <c r="C19" s="3">
        <v>680000</v>
      </c>
      <c r="D19" s="11"/>
      <c r="E19" s="3">
        <f t="shared" si="0"/>
        <v>680000</v>
      </c>
      <c r="F19" s="3">
        <v>476000</v>
      </c>
      <c r="G19" s="3">
        <v>380800</v>
      </c>
      <c r="H19" s="3">
        <v>695000</v>
      </c>
      <c r="I19" s="19">
        <f t="shared" si="1"/>
        <v>-15000</v>
      </c>
      <c r="J19" s="15">
        <v>0.6</v>
      </c>
    </row>
    <row r="20" spans="1:10" x14ac:dyDescent="0.4">
      <c r="A20" s="8" t="s">
        <v>39</v>
      </c>
      <c r="B20" s="3" t="s">
        <v>61</v>
      </c>
      <c r="C20" s="3">
        <f>SUM(C21:C23)</f>
        <v>7030000</v>
      </c>
      <c r="D20" s="11">
        <f>SUM(D21:D23)</f>
        <v>157000</v>
      </c>
      <c r="E20" s="3">
        <f t="shared" si="0"/>
        <v>7187000</v>
      </c>
      <c r="F20" s="3">
        <f>SUM(F21:F23)</f>
        <v>6752050</v>
      </c>
      <c r="G20" s="3">
        <f>SUM(G21:G23)</f>
        <v>5403200</v>
      </c>
      <c r="H20" s="3">
        <f>SUM(H21:H23)</f>
        <v>7484000</v>
      </c>
      <c r="I20" s="19">
        <f t="shared" si="1"/>
        <v>-297000</v>
      </c>
      <c r="J20" s="15">
        <f>SUMPRODUCT(E21:E23,J21:J23)/SUM(E21:E23)</f>
        <v>0.66268262139974954</v>
      </c>
    </row>
    <row r="21" spans="1:10" outlineLevel="1" x14ac:dyDescent="0.4">
      <c r="A21" s="9" t="s">
        <v>40</v>
      </c>
      <c r="B21" s="5" t="s">
        <v>62</v>
      </c>
      <c r="C21" s="5">
        <v>3240000</v>
      </c>
      <c r="D21" s="12">
        <v>95000</v>
      </c>
      <c r="E21" s="5">
        <f t="shared" si="0"/>
        <v>3335000</v>
      </c>
      <c r="F21" s="5">
        <v>3168250</v>
      </c>
      <c r="G21" s="5">
        <v>2534600</v>
      </c>
      <c r="H21" s="5">
        <v>3480000</v>
      </c>
      <c r="I21" s="20">
        <f t="shared" si="1"/>
        <v>-145000</v>
      </c>
      <c r="J21" s="16">
        <v>0.7</v>
      </c>
    </row>
    <row r="22" spans="1:10" outlineLevel="1" x14ac:dyDescent="0.4">
      <c r="A22" s="10" t="s">
        <v>41</v>
      </c>
      <c r="B22" s="6" t="s">
        <v>63</v>
      </c>
      <c r="C22" s="6">
        <v>2340000</v>
      </c>
      <c r="D22" s="13"/>
      <c r="E22" s="6">
        <f t="shared" si="0"/>
        <v>2340000</v>
      </c>
      <c r="F22" s="6">
        <v>2223000</v>
      </c>
      <c r="G22" s="6">
        <v>1780000</v>
      </c>
      <c r="H22" s="6">
        <v>2456000</v>
      </c>
      <c r="I22" s="21">
        <f t="shared" si="1"/>
        <v>-116000</v>
      </c>
      <c r="J22" s="17">
        <v>0.65</v>
      </c>
    </row>
    <row r="23" spans="1:10" outlineLevel="1" x14ac:dyDescent="0.4">
      <c r="A23" s="9" t="s">
        <v>42</v>
      </c>
      <c r="B23" s="5" t="s">
        <v>64</v>
      </c>
      <c r="C23" s="5">
        <v>1450000</v>
      </c>
      <c r="D23" s="12">
        <v>62000</v>
      </c>
      <c r="E23" s="5">
        <f t="shared" si="0"/>
        <v>1512000</v>
      </c>
      <c r="F23" s="5">
        <v>1360800</v>
      </c>
      <c r="G23" s="5">
        <v>1088600</v>
      </c>
      <c r="H23" s="5">
        <v>1548000</v>
      </c>
      <c r="I23" s="20">
        <f t="shared" si="1"/>
        <v>-36000</v>
      </c>
      <c r="J23" s="16">
        <v>0.6</v>
      </c>
    </row>
    <row r="24" spans="1:10" x14ac:dyDescent="0.4">
      <c r="A24" s="8" t="s">
        <v>43</v>
      </c>
      <c r="B24" s="3" t="s">
        <v>65</v>
      </c>
      <c r="C24" s="3">
        <v>600000</v>
      </c>
      <c r="D24" s="11"/>
      <c r="E24" s="3">
        <f t="shared" si="0"/>
        <v>600000</v>
      </c>
      <c r="F24" s="3">
        <v>360000</v>
      </c>
      <c r="G24" s="3">
        <v>216000</v>
      </c>
      <c r="H24" s="3">
        <v>628000</v>
      </c>
      <c r="I24" s="19">
        <f t="shared" si="1"/>
        <v>-28000</v>
      </c>
      <c r="J24" s="15">
        <v>0.45</v>
      </c>
    </row>
    <row r="25" spans="1:10" x14ac:dyDescent="0.4">
      <c r="A25" s="8" t="s">
        <v>44</v>
      </c>
      <c r="B25" s="3" t="s">
        <v>66</v>
      </c>
      <c r="C25" s="3">
        <v>2800000</v>
      </c>
      <c r="D25" s="11">
        <v>85000</v>
      </c>
      <c r="E25" s="3">
        <f t="shared" si="0"/>
        <v>2885000</v>
      </c>
      <c r="F25" s="3">
        <v>2885000</v>
      </c>
      <c r="G25" s="3">
        <v>2596500</v>
      </c>
      <c r="H25" s="3">
        <v>3100000</v>
      </c>
      <c r="I25" s="19">
        <f t="shared" si="1"/>
        <v>-215000</v>
      </c>
      <c r="J25" s="15">
        <v>0.65</v>
      </c>
    </row>
    <row r="26" spans="1:10" x14ac:dyDescent="0.4">
      <c r="A26" s="8" t="s">
        <v>45</v>
      </c>
      <c r="B26" s="3" t="s">
        <v>67</v>
      </c>
      <c r="C26" s="3">
        <v>1010000</v>
      </c>
      <c r="D26" s="11"/>
      <c r="E26" s="3">
        <f t="shared" si="0"/>
        <v>1010000</v>
      </c>
      <c r="F26" s="3">
        <v>0</v>
      </c>
      <c r="G26" s="3">
        <v>0</v>
      </c>
      <c r="H26" s="3">
        <v>850000</v>
      </c>
      <c r="I26" s="19">
        <f t="shared" si="1"/>
        <v>160000</v>
      </c>
      <c r="J26" s="15">
        <v>0</v>
      </c>
    </row>
    <row r="27" spans="1:10" x14ac:dyDescent="0.4">
      <c r="B27" s="4" t="s">
        <v>68</v>
      </c>
      <c r="C27" s="4">
        <f t="shared" ref="C27:H27" si="2">SUM(C5,C8,C15,C19,C20,C24,C25,C26)</f>
        <v>18000000</v>
      </c>
      <c r="D27" s="14">
        <f t="shared" si="2"/>
        <v>315000</v>
      </c>
      <c r="E27" s="14">
        <f t="shared" si="2"/>
        <v>18315000</v>
      </c>
      <c r="F27" s="4">
        <f t="shared" si="2"/>
        <v>16020550</v>
      </c>
      <c r="G27" s="4">
        <f t="shared" si="2"/>
        <v>13526650</v>
      </c>
      <c r="H27" s="4">
        <f t="shared" si="2"/>
        <v>18719000</v>
      </c>
      <c r="I27" s="22">
        <f t="shared" si="1"/>
        <v>-404000</v>
      </c>
      <c r="J27" s="18">
        <f>SUMPRODUCT(E5:E26,J5:J26)/SUM(E5:E26)</f>
        <v>0.72216658718804638</v>
      </c>
    </row>
  </sheetData>
  <mergeCells count="2">
    <mergeCell ref="A1:J1"/>
    <mergeCell ref="A2:J2"/>
  </mergeCells>
  <conditionalFormatting sqref="I5:I27">
    <cfRule type="cellIs" dxfId="3" priority="3" operator="lessThan">
      <formula>0</formula>
    </cfRule>
    <cfRule type="expression" dxfId="4" priority="2">
      <formula>AND(I5&lt;0, I5&gt;=-E5*0.02)</formula>
    </cfRule>
    <cfRule type="cellIs" dxfId="2" priority="1" operator="greaterThan">
      <formula>0</formula>
    </cfRule>
  </conditionalFormatting>
  <pageMargins left="0.7" right="0.7" top="0.75" bottom="0.75" header="0.3" footer="0.3"/>
  <ignoredErrors>
    <ignoredError sqref="A5:A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EEEB-5485-4D53-B51F-28DE04337FA4}">
  <dimension ref="A1:G1048576"/>
  <sheetViews>
    <sheetView workbookViewId="0">
      <selection activeCell="J2" sqref="J2"/>
    </sheetView>
  </sheetViews>
  <sheetFormatPr defaultRowHeight="14.6" x14ac:dyDescent="0.4"/>
  <cols>
    <col min="1" max="1" width="18.69140625" customWidth="1"/>
    <col min="2" max="4" width="22.69140625" customWidth="1"/>
    <col min="5" max="5" width="14.69140625" customWidth="1"/>
    <col min="6" max="6" width="10.69140625" customWidth="1"/>
    <col min="7" max="7" width="16.69140625" customWidth="1"/>
  </cols>
  <sheetData>
    <row r="1" spans="1:7" ht="35.049999999999997" customHeight="1" x14ac:dyDescent="0.4">
      <c r="A1" s="38" t="s">
        <v>69</v>
      </c>
      <c r="B1" s="38"/>
      <c r="C1" s="38"/>
      <c r="D1" s="38"/>
      <c r="E1" s="38"/>
      <c r="F1" s="38"/>
      <c r="G1" s="38"/>
    </row>
    <row r="2" spans="1:7" ht="25" customHeight="1" x14ac:dyDescent="0.4">
      <c r="A2" s="39" t="s">
        <v>70</v>
      </c>
      <c r="B2" s="39"/>
      <c r="C2" s="39"/>
      <c r="D2" s="39"/>
      <c r="E2" s="39"/>
      <c r="F2" s="39"/>
      <c r="G2" s="39"/>
    </row>
    <row r="4" spans="1:7" ht="15" thickBot="1" x14ac:dyDescent="0.45">
      <c r="A4" s="40" t="s">
        <v>71</v>
      </c>
      <c r="B4" s="41" t="s">
        <v>72</v>
      </c>
      <c r="C4" s="41" t="s">
        <v>73</v>
      </c>
      <c r="D4" s="41" t="s">
        <v>74</v>
      </c>
      <c r="E4" s="41" t="s">
        <v>75</v>
      </c>
      <c r="F4" s="41" t="s">
        <v>76</v>
      </c>
      <c r="G4" s="42" t="s">
        <v>77</v>
      </c>
    </row>
    <row r="5" spans="1:7" x14ac:dyDescent="0.4">
      <c r="A5" s="23">
        <v>45383</v>
      </c>
      <c r="B5" s="24">
        <v>850000</v>
      </c>
      <c r="C5" s="24">
        <v>820000</v>
      </c>
      <c r="D5" s="43">
        <f>B5-C5</f>
        <v>30000</v>
      </c>
      <c r="E5" s="25">
        <f>D5/B5</f>
        <v>3.5294117647058823E-2</v>
      </c>
      <c r="F5" s="26">
        <f>B5/C5</f>
        <v>1.0365853658536586</v>
      </c>
      <c r="G5" s="27">
        <f>18315000/F5</f>
        <v>17668588.235294119</v>
      </c>
    </row>
    <row r="6" spans="1:7" x14ac:dyDescent="0.4">
      <c r="A6" s="28">
        <v>45413</v>
      </c>
      <c r="B6" s="29">
        <v>1920000</v>
      </c>
      <c r="C6" s="29">
        <v>1850000</v>
      </c>
      <c r="D6" s="44">
        <f t="shared" ref="D6:D10" si="0">B6-C6</f>
        <v>70000</v>
      </c>
      <c r="E6" s="30">
        <f t="shared" ref="E6:E10" si="1">D6/B6</f>
        <v>3.6458333333333336E-2</v>
      </c>
      <c r="F6" s="31">
        <f t="shared" ref="F6:F10" si="2">B6/C6</f>
        <v>1.0378378378378379</v>
      </c>
      <c r="G6" s="32">
        <f t="shared" ref="G6:G10" si="3">18315000/F6</f>
        <v>17647265.625</v>
      </c>
    </row>
    <row r="7" spans="1:7" x14ac:dyDescent="0.4">
      <c r="A7" s="23">
        <v>45444</v>
      </c>
      <c r="B7" s="24">
        <v>3450000</v>
      </c>
      <c r="C7" s="24">
        <v>3350000</v>
      </c>
      <c r="D7" s="43">
        <f t="shared" si="0"/>
        <v>100000</v>
      </c>
      <c r="E7" s="25">
        <f t="shared" si="1"/>
        <v>2.8985507246376812E-2</v>
      </c>
      <c r="F7" s="26">
        <f t="shared" si="2"/>
        <v>1.0298507462686568</v>
      </c>
      <c r="G7" s="27">
        <f t="shared" si="3"/>
        <v>17784130.434782606</v>
      </c>
    </row>
    <row r="8" spans="1:7" x14ac:dyDescent="0.4">
      <c r="A8" s="28">
        <v>45474</v>
      </c>
      <c r="B8" s="29">
        <v>5280000</v>
      </c>
      <c r="C8" s="29">
        <v>5180000</v>
      </c>
      <c r="D8" s="44">
        <f t="shared" si="0"/>
        <v>100000</v>
      </c>
      <c r="E8" s="30">
        <f t="shared" si="1"/>
        <v>1.893939393939394E-2</v>
      </c>
      <c r="F8" s="31">
        <f t="shared" si="2"/>
        <v>1.0193050193050193</v>
      </c>
      <c r="G8" s="32">
        <f t="shared" si="3"/>
        <v>17968125</v>
      </c>
    </row>
    <row r="9" spans="1:7" x14ac:dyDescent="0.4">
      <c r="A9" s="23">
        <v>45505</v>
      </c>
      <c r="B9" s="24">
        <v>8640000</v>
      </c>
      <c r="C9" s="24">
        <v>8750000</v>
      </c>
      <c r="D9" s="43">
        <f t="shared" si="0"/>
        <v>-110000</v>
      </c>
      <c r="E9" s="25">
        <f t="shared" si="1"/>
        <v>-1.2731481481481481E-2</v>
      </c>
      <c r="F9" s="26">
        <f t="shared" si="2"/>
        <v>0.98742857142857143</v>
      </c>
      <c r="G9" s="27">
        <f t="shared" si="3"/>
        <v>18548177.083333332</v>
      </c>
    </row>
    <row r="10" spans="1:7" x14ac:dyDescent="0.4">
      <c r="A10" s="33">
        <v>45536</v>
      </c>
      <c r="B10" s="34">
        <v>11850000</v>
      </c>
      <c r="C10" s="34">
        <v>12254650</v>
      </c>
      <c r="D10" s="45">
        <f t="shared" si="0"/>
        <v>-404650</v>
      </c>
      <c r="E10" s="35">
        <f t="shared" si="1"/>
        <v>-3.4147679324894514E-2</v>
      </c>
      <c r="F10" s="36">
        <f t="shared" si="2"/>
        <v>0.96697988110635558</v>
      </c>
      <c r="G10" s="37">
        <f t="shared" si="3"/>
        <v>18940414.746835444</v>
      </c>
    </row>
    <row r="1048576" spans="2:3" x14ac:dyDescent="0.4">
      <c r="B1048576">
        <f>SUM(B1:B1048575)</f>
        <v>31990000</v>
      </c>
      <c r="C1048576">
        <f>SUM(C1:C1048575)</f>
        <v>32204650</v>
      </c>
    </row>
  </sheetData>
  <mergeCells count="2">
    <mergeCell ref="A1:G1"/>
    <mergeCell ref="A2:G2"/>
  </mergeCells>
  <conditionalFormatting sqref="D5:D10">
    <cfRule type="expression" dxfId="1" priority="2">
      <formula>D5&lt;0</formula>
    </cfRule>
    <cfRule type="expression" dxfId="0" priority="1">
      <formula>D5&gt;0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73FC-2423-441D-B32D-DF5AF30B74F5}">
  <dimension ref="A1:B9"/>
  <sheetViews>
    <sheetView tabSelected="1" workbookViewId="0">
      <selection activeCell="C19" sqref="C19"/>
    </sheetView>
  </sheetViews>
  <sheetFormatPr defaultRowHeight="14.6" x14ac:dyDescent="0.4"/>
  <cols>
    <col min="1" max="1" width="25.69140625" bestFit="1" customWidth="1"/>
    <col min="2" max="2" width="37.07421875" bestFit="1" customWidth="1"/>
  </cols>
  <sheetData>
    <row r="1" spans="1:2" x14ac:dyDescent="0.4">
      <c r="A1" s="46" t="s">
        <v>0</v>
      </c>
      <c r="B1" s="48" t="s">
        <v>1</v>
      </c>
    </row>
    <row r="2" spans="1:2" x14ac:dyDescent="0.4">
      <c r="A2" s="47" t="s">
        <v>2</v>
      </c>
      <c r="B2" s="49" t="s">
        <v>3</v>
      </c>
    </row>
    <row r="3" spans="1:2" x14ac:dyDescent="0.4">
      <c r="A3" s="46" t="s">
        <v>4</v>
      </c>
      <c r="B3" s="48" t="s">
        <v>5</v>
      </c>
    </row>
    <row r="4" spans="1:2" x14ac:dyDescent="0.4">
      <c r="A4" s="47" t="s">
        <v>6</v>
      </c>
      <c r="B4" s="50">
        <v>18000000</v>
      </c>
    </row>
    <row r="5" spans="1:2" x14ac:dyDescent="0.4">
      <c r="A5" s="46" t="s">
        <v>7</v>
      </c>
      <c r="B5" s="51">
        <v>45383</v>
      </c>
    </row>
    <row r="6" spans="1:2" x14ac:dyDescent="0.4">
      <c r="A6" s="47" t="s">
        <v>8</v>
      </c>
      <c r="B6" s="52">
        <v>46112</v>
      </c>
    </row>
    <row r="7" spans="1:2" x14ac:dyDescent="0.4">
      <c r="A7" s="46" t="s">
        <v>9</v>
      </c>
      <c r="B7" s="48" t="s">
        <v>13</v>
      </c>
    </row>
    <row r="8" spans="1:2" x14ac:dyDescent="0.4">
      <c r="A8" s="47" t="s">
        <v>10</v>
      </c>
      <c r="B8" s="49" t="s">
        <v>11</v>
      </c>
    </row>
    <row r="9" spans="1:2" x14ac:dyDescent="0.4">
      <c r="A9" s="46" t="s">
        <v>12</v>
      </c>
      <c r="B9" s="48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Plan</vt:lpstr>
      <vt:lpstr>CVR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2026-05-07T14:10:09Z</dcterms:created>
  <dcterms:modified xsi:type="dcterms:W3CDTF">2026-05-13T14:22:31Z</dcterms:modified>
</cp:coreProperties>
</file>