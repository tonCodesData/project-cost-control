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0344444F-A93B-4477-A8D8-57AC927EDF56}" xr6:coauthVersionLast="47" xr6:coauthVersionMax="47" xr10:uidLastSave="{00000000-0000-0000-0000-000000000000}"/>
  <bookViews>
    <workbookView xWindow="-103" yWindow="-103" windowWidth="24892" windowHeight="1409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9" i="1" l="1"/>
  <c r="I24" i="1"/>
  <c r="I25" i="1"/>
  <c r="I26" i="1"/>
  <c r="H20" i="1"/>
  <c r="H15" i="1"/>
  <c r="H8" i="1"/>
  <c r="H5" i="1"/>
  <c r="G20" i="1"/>
  <c r="G15" i="1"/>
  <c r="G8" i="1"/>
  <c r="G5" i="1"/>
  <c r="G27" i="1" s="1"/>
  <c r="F20" i="1"/>
  <c r="F15" i="1"/>
  <c r="F8" i="1"/>
  <c r="F5" i="1"/>
  <c r="E6" i="1"/>
  <c r="J5" i="1" s="1"/>
  <c r="E7" i="1"/>
  <c r="I7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6" i="1"/>
  <c r="I16" i="1" s="1"/>
  <c r="E17" i="1"/>
  <c r="I17" i="1" s="1"/>
  <c r="E18" i="1"/>
  <c r="I18" i="1" s="1"/>
  <c r="E19" i="1"/>
  <c r="E21" i="1"/>
  <c r="I21" i="1" s="1"/>
  <c r="E22" i="1"/>
  <c r="I22" i="1" s="1"/>
  <c r="E23" i="1"/>
  <c r="I23" i="1" s="1"/>
  <c r="E24" i="1"/>
  <c r="E25" i="1"/>
  <c r="E26" i="1"/>
  <c r="D20" i="1"/>
  <c r="E20" i="1" s="1"/>
  <c r="I20" i="1" s="1"/>
  <c r="D15" i="1"/>
  <c r="E15" i="1" s="1"/>
  <c r="D8" i="1"/>
  <c r="C20" i="1"/>
  <c r="C15" i="1"/>
  <c r="C8" i="1"/>
  <c r="I15" i="1" l="1"/>
  <c r="J15" i="1"/>
  <c r="J20" i="1"/>
  <c r="H27" i="1"/>
  <c r="F27" i="1"/>
  <c r="E8" i="1"/>
  <c r="I8" i="1" s="1"/>
  <c r="J8" i="1"/>
  <c r="I6" i="1"/>
  <c r="D27" i="1"/>
  <c r="C5" i="1"/>
  <c r="E5" i="1" l="1"/>
  <c r="C27" i="1"/>
  <c r="E27" i="1" l="1"/>
  <c r="I27" i="1" s="1"/>
  <c r="J27" i="1"/>
  <c r="I5" i="1"/>
</calcChain>
</file>

<file path=xl/sharedStrings.xml><?xml version="1.0" encoding="utf-8"?>
<sst xmlns="http://schemas.openxmlformats.org/spreadsheetml/2006/main" count="71" uniqueCount="70">
  <si>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</si>
  <si>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</si>
  <si>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</si>
  <si>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</si>
  <si>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</si>
  <si>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</si>
  <si>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</si>
  <si>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</si>
  <si>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</si>
  <si>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</si>
  <si>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</si>
  <si>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</si>
  <si>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</si>
  <si>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</si>
  <si>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</si>
  <si>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Meridian Cost Consultants | Report Date: [we'll make this dynamic later]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</si>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</sst>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9" fontId="0" fillId="0" borderId="0" xfId="0" applyNumberFormat="1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1" fontId="2" fillId="4" borderId="0" xfId="0" applyNumberFormat="1" applyFont="1" applyFill="1"/>
    <xf numFmtId="1" fontId="0" fillId="5" borderId="0" xfId="0" applyNumberFormat="1" applyFill="1"/>
    <xf numFmtId="1" fontId="0" fillId="6" borderId="0" xfId="0" applyNumberFormat="1" applyFill="1"/>
    <xf numFmtId="1" fontId="2" fillId="3" borderId="0" xfId="0" applyNumberFormat="1" applyFont="1" applyFill="1"/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0" fontId="0" fillId="0" borderId="0" xfId="0" applyAlignment="1">
      <alignment horizontal="center"/>
    </xf>
    <xf numFmtId="0" fontId="1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1" fillId="3" borderId="0" xfId="0" applyFont="1" applyFill="1"/>
  </cellXfs>
  <cellStyles count="3">
    <cellStyle name="Accent1" xfId="1" builtinId="29"/>
    <cellStyle name="Normal" xfId="0" builtinId="0"/>
    <cellStyle name="Per cent" xfId="2" builtinId="5"/>
  </cellStyles>
  <dxfs count="6"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70AD47"/>
      <color rgb="FFFFC000"/>
      <color rgb="FFFF0000"/>
      <color rgb="FF1F3864"/>
      <color rgb="FFD9D9D9"/>
      <color rgb="FF2E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tabSelected="1" workbookViewId="0">
      <selection activeCell="B24" sqref="B24"/>
    </sheetView>
  </sheetViews>
  <sheetFormatPr defaultRowHeight="14.6" outlineLevelRow="1" x14ac:dyDescent="0.4"/>
  <cols>
    <col min="1" max="1" width="12.69140625" style="4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x14ac:dyDescent="0.4">
      <c r="A1" s="21" t="s">
        <v>14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x14ac:dyDescent="0.4">
      <c r="A2" s="21" t="s">
        <v>15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ht="30" customHeight="1" x14ac:dyDescent="0.4">
      <c r="A4" s="9" t="s">
        <v>16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24</v>
      </c>
      <c r="J4" s="3" t="s">
        <v>12</v>
      </c>
    </row>
    <row r="5" spans="1:10" x14ac:dyDescent="0.4">
      <c r="A5" s="10" t="s">
        <v>25</v>
      </c>
      <c r="B5" s="5" t="s">
        <v>47</v>
      </c>
      <c r="C5" s="5">
        <f>SUM(C6:C7)</f>
        <v>800000</v>
      </c>
      <c r="D5" s="13"/>
      <c r="E5" s="5">
        <f>SUM(C5:D5)</f>
        <v>800000</v>
      </c>
      <c r="F5" s="5">
        <f>SUM(F6:F7)</f>
        <v>800000</v>
      </c>
      <c r="G5" s="5">
        <f>SUM(G6:G7)</f>
        <v>720000</v>
      </c>
      <c r="H5" s="5">
        <f>SUM(H6:H7)</f>
        <v>805000</v>
      </c>
      <c r="I5" s="22">
        <f>E5-H5</f>
        <v>-5000</v>
      </c>
      <c r="J5" s="17">
        <f>SUMPRODUCT(E6:E7, J6:J7)/SUM(E6:E7)</f>
        <v>1</v>
      </c>
    </row>
    <row r="6" spans="1:10" outlineLevel="1" x14ac:dyDescent="0.4">
      <c r="A6" s="11" t="s">
        <v>26</v>
      </c>
      <c r="B6" s="7" t="s">
        <v>48</v>
      </c>
      <c r="C6" s="7">
        <v>540000</v>
      </c>
      <c r="D6" s="14"/>
      <c r="E6" s="7">
        <f t="shared" ref="E6:E26" si="0">SUM(C6:D6)</f>
        <v>540000</v>
      </c>
      <c r="F6" s="7">
        <v>540000</v>
      </c>
      <c r="G6" s="7">
        <v>486000</v>
      </c>
      <c r="H6" s="7">
        <v>540000</v>
      </c>
      <c r="I6" s="23">
        <f t="shared" ref="I6:I27" si="1">E6-H6</f>
        <v>0</v>
      </c>
      <c r="J6" s="18">
        <v>1</v>
      </c>
    </row>
    <row r="7" spans="1:10" outlineLevel="1" x14ac:dyDescent="0.4">
      <c r="A7" s="12" t="s">
        <v>27</v>
      </c>
      <c r="B7" s="8" t="s">
        <v>49</v>
      </c>
      <c r="C7" s="8">
        <v>260000</v>
      </c>
      <c r="D7" s="15"/>
      <c r="E7" s="8">
        <f t="shared" si="0"/>
        <v>260000</v>
      </c>
      <c r="F7" s="8">
        <v>260000</v>
      </c>
      <c r="G7" s="8">
        <v>234000</v>
      </c>
      <c r="H7" s="8">
        <v>265000</v>
      </c>
      <c r="I7" s="24">
        <f t="shared" si="1"/>
        <v>-5000</v>
      </c>
      <c r="J7" s="19">
        <v>1</v>
      </c>
    </row>
    <row r="8" spans="1:10" x14ac:dyDescent="0.4">
      <c r="A8" s="10" t="s">
        <v>28</v>
      </c>
      <c r="B8" s="5" t="s">
        <v>50</v>
      </c>
      <c r="C8" s="5">
        <f>SUM(C9:C14)</f>
        <v>4290000</v>
      </c>
      <c r="D8" s="13">
        <f>SUM(D9:D14)</f>
        <v>45000</v>
      </c>
      <c r="E8" s="5">
        <f t="shared" si="0"/>
        <v>4335000</v>
      </c>
      <c r="F8" s="5">
        <f>SUM(F9:F14)</f>
        <v>4121000</v>
      </c>
      <c r="G8" s="5">
        <f>SUM(G9:G14)</f>
        <v>3708950</v>
      </c>
      <c r="H8" s="5">
        <f>SUM(H9:H14)</f>
        <v>4315000</v>
      </c>
      <c r="I8" s="22">
        <f t="shared" si="1"/>
        <v>20000</v>
      </c>
      <c r="J8" s="17">
        <f>SUMPRODUCT(E9:E14,J9:J14)/SUM(E9:E14)</f>
        <v>0.92612456747404848</v>
      </c>
    </row>
    <row r="9" spans="1:10" outlineLevel="1" x14ac:dyDescent="0.4">
      <c r="A9" s="11" t="s">
        <v>29</v>
      </c>
      <c r="B9" s="7" t="s">
        <v>51</v>
      </c>
      <c r="C9" s="7">
        <v>1800000</v>
      </c>
      <c r="D9" s="14"/>
      <c r="E9" s="7">
        <f t="shared" si="0"/>
        <v>1800000</v>
      </c>
      <c r="F9" s="7">
        <v>1800000</v>
      </c>
      <c r="G9" s="7">
        <v>1620000</v>
      </c>
      <c r="H9" s="7">
        <v>1800000</v>
      </c>
      <c r="I9" s="23">
        <f t="shared" si="1"/>
        <v>0</v>
      </c>
      <c r="J9" s="18">
        <v>1</v>
      </c>
    </row>
    <row r="10" spans="1:10" outlineLevel="1" x14ac:dyDescent="0.4">
      <c r="A10" s="12" t="s">
        <v>30</v>
      </c>
      <c r="B10" s="8" t="s">
        <v>52</v>
      </c>
      <c r="C10" s="8">
        <v>650000</v>
      </c>
      <c r="D10" s="15"/>
      <c r="E10" s="8">
        <f t="shared" si="0"/>
        <v>650000</v>
      </c>
      <c r="F10" s="8">
        <v>650000</v>
      </c>
      <c r="G10" s="8">
        <v>585000</v>
      </c>
      <c r="H10" s="8">
        <v>650000</v>
      </c>
      <c r="I10" s="24">
        <f t="shared" si="1"/>
        <v>0</v>
      </c>
      <c r="J10" s="19">
        <v>1</v>
      </c>
    </row>
    <row r="11" spans="1:10" outlineLevel="1" x14ac:dyDescent="0.4">
      <c r="A11" s="11" t="s">
        <v>31</v>
      </c>
      <c r="B11" s="7" t="s">
        <v>53</v>
      </c>
      <c r="C11" s="7">
        <v>280000</v>
      </c>
      <c r="D11" s="14"/>
      <c r="E11" s="7">
        <f t="shared" si="0"/>
        <v>280000</v>
      </c>
      <c r="F11" s="7">
        <v>266000</v>
      </c>
      <c r="G11" s="7">
        <v>239400</v>
      </c>
      <c r="H11" s="7">
        <v>272000</v>
      </c>
      <c r="I11" s="23">
        <f t="shared" si="1"/>
        <v>8000</v>
      </c>
      <c r="J11" s="18">
        <v>0.95</v>
      </c>
    </row>
    <row r="12" spans="1:10" outlineLevel="1" x14ac:dyDescent="0.4">
      <c r="A12" s="12" t="s">
        <v>32</v>
      </c>
      <c r="B12" s="8" t="s">
        <v>54</v>
      </c>
      <c r="C12" s="8">
        <v>950000</v>
      </c>
      <c r="D12" s="15">
        <v>45000</v>
      </c>
      <c r="E12" s="8">
        <f t="shared" si="0"/>
        <v>995000</v>
      </c>
      <c r="F12" s="8">
        <v>895500</v>
      </c>
      <c r="G12" s="8">
        <v>806000</v>
      </c>
      <c r="H12" s="8">
        <v>1045000</v>
      </c>
      <c r="I12" s="24">
        <f t="shared" si="1"/>
        <v>-50000</v>
      </c>
      <c r="J12" s="19">
        <v>0.85</v>
      </c>
    </row>
    <row r="13" spans="1:10" outlineLevel="1" x14ac:dyDescent="0.4">
      <c r="A13" s="11" t="s">
        <v>33</v>
      </c>
      <c r="B13" s="7" t="s">
        <v>55</v>
      </c>
      <c r="C13" s="7">
        <v>520000</v>
      </c>
      <c r="D13" s="14"/>
      <c r="E13" s="7">
        <f t="shared" si="0"/>
        <v>520000</v>
      </c>
      <c r="F13" s="7">
        <v>442000</v>
      </c>
      <c r="G13" s="7">
        <v>397800</v>
      </c>
      <c r="H13" s="7">
        <v>476000</v>
      </c>
      <c r="I13" s="23">
        <f t="shared" si="1"/>
        <v>44000</v>
      </c>
      <c r="J13" s="18">
        <v>0.75</v>
      </c>
    </row>
    <row r="14" spans="1:10" outlineLevel="1" x14ac:dyDescent="0.4">
      <c r="A14" s="12" t="s">
        <v>34</v>
      </c>
      <c r="B14" s="8" t="s">
        <v>56</v>
      </c>
      <c r="C14" s="8">
        <v>90000</v>
      </c>
      <c r="D14" s="15"/>
      <c r="E14" s="8">
        <f t="shared" si="0"/>
        <v>90000</v>
      </c>
      <c r="F14" s="8">
        <v>67500</v>
      </c>
      <c r="G14" s="8">
        <v>60750</v>
      </c>
      <c r="H14" s="8">
        <v>72000</v>
      </c>
      <c r="I14" s="24">
        <f t="shared" si="1"/>
        <v>18000</v>
      </c>
      <c r="J14" s="19">
        <v>0.7</v>
      </c>
    </row>
    <row r="15" spans="1:10" x14ac:dyDescent="0.4">
      <c r="A15" s="10" t="s">
        <v>35</v>
      </c>
      <c r="B15" s="5" t="s">
        <v>57</v>
      </c>
      <c r="C15" s="5">
        <f>SUM(C16:C18)</f>
        <v>790000</v>
      </c>
      <c r="D15" s="13">
        <f>SUM(D16:D18)</f>
        <v>28000</v>
      </c>
      <c r="E15" s="5">
        <f t="shared" si="0"/>
        <v>818000</v>
      </c>
      <c r="F15" s="5">
        <f>SUM(F16:F18)</f>
        <v>626500</v>
      </c>
      <c r="G15" s="5">
        <f>SUM(G16:G18)</f>
        <v>501200</v>
      </c>
      <c r="H15" s="5">
        <f>SUM(H16:H18)</f>
        <v>842000</v>
      </c>
      <c r="I15" s="22">
        <f t="shared" si="1"/>
        <v>-24000</v>
      </c>
      <c r="J15" s="17">
        <f>SUMPRODUCT(E16:E18,J16:J18)/SUM(E16:E18)</f>
        <v>0.61589242053789728</v>
      </c>
    </row>
    <row r="16" spans="1:10" outlineLevel="1" x14ac:dyDescent="0.4">
      <c r="A16" s="11" t="s">
        <v>36</v>
      </c>
      <c r="B16" s="7" t="s">
        <v>58</v>
      </c>
      <c r="C16" s="7">
        <v>380000</v>
      </c>
      <c r="D16" s="14"/>
      <c r="E16" s="7">
        <f t="shared" si="0"/>
        <v>380000</v>
      </c>
      <c r="F16" s="7">
        <v>304000</v>
      </c>
      <c r="G16" s="7">
        <v>243200</v>
      </c>
      <c r="H16" s="7">
        <v>391000</v>
      </c>
      <c r="I16" s="23">
        <f t="shared" si="1"/>
        <v>-11000</v>
      </c>
      <c r="J16" s="18">
        <v>0.65</v>
      </c>
    </row>
    <row r="17" spans="1:10" outlineLevel="1" x14ac:dyDescent="0.4">
      <c r="A17" s="12" t="s">
        <v>37</v>
      </c>
      <c r="B17" s="8" t="s">
        <v>59</v>
      </c>
      <c r="C17" s="8">
        <v>290000</v>
      </c>
      <c r="D17" s="15">
        <v>28000</v>
      </c>
      <c r="E17" s="8">
        <f t="shared" si="0"/>
        <v>318000</v>
      </c>
      <c r="F17" s="8">
        <v>238500</v>
      </c>
      <c r="G17" s="8">
        <v>190800</v>
      </c>
      <c r="H17" s="8">
        <v>325000</v>
      </c>
      <c r="I17" s="24">
        <f t="shared" si="1"/>
        <v>-7000</v>
      </c>
      <c r="J17" s="19">
        <v>0.6</v>
      </c>
    </row>
    <row r="18" spans="1:10" outlineLevel="1" x14ac:dyDescent="0.4">
      <c r="A18" s="11" t="s">
        <v>38</v>
      </c>
      <c r="B18" s="7" t="s">
        <v>60</v>
      </c>
      <c r="C18" s="7">
        <v>120000</v>
      </c>
      <c r="D18" s="14"/>
      <c r="E18" s="7">
        <f t="shared" si="0"/>
        <v>120000</v>
      </c>
      <c r="F18" s="7">
        <v>84000</v>
      </c>
      <c r="G18" s="7">
        <v>67200</v>
      </c>
      <c r="H18" s="7">
        <v>126000</v>
      </c>
      <c r="I18" s="23">
        <f t="shared" si="1"/>
        <v>-6000</v>
      </c>
      <c r="J18" s="18">
        <v>0.55000000000000004</v>
      </c>
    </row>
    <row r="19" spans="1:10" x14ac:dyDescent="0.4">
      <c r="A19" s="10" t="s">
        <v>39</v>
      </c>
      <c r="B19" s="5" t="s">
        <v>61</v>
      </c>
      <c r="C19" s="5">
        <v>680000</v>
      </c>
      <c r="D19" s="13"/>
      <c r="E19" s="5">
        <f t="shared" si="0"/>
        <v>680000</v>
      </c>
      <c r="F19" s="5">
        <v>476000</v>
      </c>
      <c r="G19" s="5">
        <v>380800</v>
      </c>
      <c r="H19" s="5">
        <v>695000</v>
      </c>
      <c r="I19" s="22">
        <f t="shared" si="1"/>
        <v>-15000</v>
      </c>
      <c r="J19" s="17">
        <v>0.6</v>
      </c>
    </row>
    <row r="20" spans="1:10" x14ac:dyDescent="0.4">
      <c r="A20" s="10" t="s">
        <v>40</v>
      </c>
      <c r="B20" s="5" t="s">
        <v>62</v>
      </c>
      <c r="C20" s="5">
        <f>SUM(C21:C23)</f>
        <v>7030000</v>
      </c>
      <c r="D20" s="13">
        <f>SUM(D21:D23)</f>
        <v>157000</v>
      </c>
      <c r="E20" s="5">
        <f t="shared" si="0"/>
        <v>7187000</v>
      </c>
      <c r="F20" s="5">
        <f>SUM(F21:F23)</f>
        <v>6752050</v>
      </c>
      <c r="G20" s="5">
        <f>SUM(G21:G23)</f>
        <v>5403200</v>
      </c>
      <c r="H20" s="5">
        <f>SUM(H21:H23)</f>
        <v>7484000</v>
      </c>
      <c r="I20" s="22">
        <f t="shared" si="1"/>
        <v>-297000</v>
      </c>
      <c r="J20" s="17">
        <f>SUMPRODUCT(E21:E23,J21:J23)/SUM(E21:E23)</f>
        <v>0.66268262139974954</v>
      </c>
    </row>
    <row r="21" spans="1:10" outlineLevel="1" x14ac:dyDescent="0.4">
      <c r="A21" s="11" t="s">
        <v>41</v>
      </c>
      <c r="B21" s="7" t="s">
        <v>63</v>
      </c>
      <c r="C21" s="7">
        <v>3240000</v>
      </c>
      <c r="D21" s="14">
        <v>95000</v>
      </c>
      <c r="E21" s="7">
        <f t="shared" si="0"/>
        <v>3335000</v>
      </c>
      <c r="F21" s="7">
        <v>3168250</v>
      </c>
      <c r="G21" s="7">
        <v>2534600</v>
      </c>
      <c r="H21" s="7">
        <v>3480000</v>
      </c>
      <c r="I21" s="23">
        <f t="shared" si="1"/>
        <v>-145000</v>
      </c>
      <c r="J21" s="18">
        <v>0.7</v>
      </c>
    </row>
    <row r="22" spans="1:10" outlineLevel="1" x14ac:dyDescent="0.4">
      <c r="A22" s="12" t="s">
        <v>42</v>
      </c>
      <c r="B22" s="8" t="s">
        <v>64</v>
      </c>
      <c r="C22" s="8">
        <v>2340000</v>
      </c>
      <c r="D22" s="15"/>
      <c r="E22" s="8">
        <f t="shared" si="0"/>
        <v>2340000</v>
      </c>
      <c r="F22" s="8">
        <v>2223000</v>
      </c>
      <c r="G22" s="8">
        <v>1780000</v>
      </c>
      <c r="H22" s="8">
        <v>2456000</v>
      </c>
      <c r="I22" s="24">
        <f t="shared" si="1"/>
        <v>-116000</v>
      </c>
      <c r="J22" s="19">
        <v>0.65</v>
      </c>
    </row>
    <row r="23" spans="1:10" outlineLevel="1" x14ac:dyDescent="0.4">
      <c r="A23" s="11" t="s">
        <v>43</v>
      </c>
      <c r="B23" s="7" t="s">
        <v>65</v>
      </c>
      <c r="C23" s="7">
        <v>1450000</v>
      </c>
      <c r="D23" s="14">
        <v>62000</v>
      </c>
      <c r="E23" s="7">
        <f t="shared" si="0"/>
        <v>1512000</v>
      </c>
      <c r="F23" s="7">
        <v>1360800</v>
      </c>
      <c r="G23" s="7">
        <v>1088600</v>
      </c>
      <c r="H23" s="7">
        <v>1548000</v>
      </c>
      <c r="I23" s="23">
        <f t="shared" si="1"/>
        <v>-36000</v>
      </c>
      <c r="J23" s="18">
        <v>0.6</v>
      </c>
    </row>
    <row r="24" spans="1:10" x14ac:dyDescent="0.4">
      <c r="A24" s="10" t="s">
        <v>44</v>
      </c>
      <c r="B24" s="5" t="s">
        <v>66</v>
      </c>
      <c r="C24" s="5">
        <v>600000</v>
      </c>
      <c r="D24" s="13"/>
      <c r="E24" s="5">
        <f t="shared" si="0"/>
        <v>600000</v>
      </c>
      <c r="F24" s="5">
        <v>360000</v>
      </c>
      <c r="G24" s="5">
        <v>216000</v>
      </c>
      <c r="H24" s="5">
        <v>628000</v>
      </c>
      <c r="I24" s="22">
        <f t="shared" si="1"/>
        <v>-28000</v>
      </c>
      <c r="J24" s="17">
        <v>0.45</v>
      </c>
    </row>
    <row r="25" spans="1:10" x14ac:dyDescent="0.4">
      <c r="A25" s="10" t="s">
        <v>45</v>
      </c>
      <c r="B25" s="5" t="s">
        <v>67</v>
      </c>
      <c r="C25" s="5">
        <v>2800000</v>
      </c>
      <c r="D25" s="13">
        <v>85000</v>
      </c>
      <c r="E25" s="5">
        <f t="shared" si="0"/>
        <v>2885000</v>
      </c>
      <c r="F25" s="5">
        <v>2885000</v>
      </c>
      <c r="G25" s="5">
        <v>2596500</v>
      </c>
      <c r="H25" s="5">
        <v>3100000</v>
      </c>
      <c r="I25" s="22">
        <f t="shared" si="1"/>
        <v>-215000</v>
      </c>
      <c r="J25" s="17">
        <v>0.65</v>
      </c>
    </row>
    <row r="26" spans="1:10" x14ac:dyDescent="0.4">
      <c r="A26" s="10" t="s">
        <v>46</v>
      </c>
      <c r="B26" s="5" t="s">
        <v>68</v>
      </c>
      <c r="C26" s="5">
        <v>1010000</v>
      </c>
      <c r="D26" s="13"/>
      <c r="E26" s="5">
        <f t="shared" si="0"/>
        <v>1010000</v>
      </c>
      <c r="F26" s="5">
        <v>0</v>
      </c>
      <c r="G26" s="5">
        <v>0</v>
      </c>
      <c r="H26" s="5">
        <v>850000</v>
      </c>
      <c r="I26" s="22">
        <f t="shared" si="1"/>
        <v>160000</v>
      </c>
      <c r="J26" s="17">
        <v>0</v>
      </c>
    </row>
    <row r="27" spans="1:10" x14ac:dyDescent="0.4">
      <c r="B27" s="6" t="s">
        <v>69</v>
      </c>
      <c r="C27" s="6">
        <f t="shared" ref="C27:H27" si="2">SUM(C5,C8,C15,C19,C20,C24,C25,C26)</f>
        <v>18000000</v>
      </c>
      <c r="D27" s="16">
        <f t="shared" si="2"/>
        <v>315000</v>
      </c>
      <c r="E27" s="16">
        <f t="shared" si="2"/>
        <v>18315000</v>
      </c>
      <c r="F27" s="6">
        <f t="shared" si="2"/>
        <v>16020550</v>
      </c>
      <c r="G27" s="6">
        <f t="shared" si="2"/>
        <v>13526650</v>
      </c>
      <c r="H27" s="6">
        <f t="shared" si="2"/>
        <v>18719000</v>
      </c>
      <c r="I27" s="25">
        <f t="shared" si="1"/>
        <v>-404000</v>
      </c>
      <c r="J27" s="20">
        <f>SUMPRODUCT(E5:E26,J5:J26)/SUM(E5:E26)</f>
        <v>0.72216658718804638</v>
      </c>
    </row>
  </sheetData>
  <mergeCells count="2">
    <mergeCell ref="A1:J1"/>
    <mergeCell ref="A2:J2"/>
  </mergeCells>
  <conditionalFormatting sqref="I5:I27">
    <cfRule type="cellIs" dxfId="3" priority="3" operator="lessThan">
      <formula>0</formula>
    </cfRule>
    <cfRule type="expression" dxfId="4" priority="2">
      <formula>AND(I5&lt;0, I5&gt;=-E5*0.02)</formula>
    </cfRule>
    <cfRule type="cellIs" dxfId="2" priority="1" operator="greaterThan">
      <formula>0</formula>
    </cfRule>
  </conditionalFormatting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D11" sqref="D11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t="s">
        <v>5</v>
      </c>
    </row>
    <row r="4" spans="1:2" x14ac:dyDescent="0.4">
      <c r="A4" t="s">
        <v>6</v>
      </c>
      <c r="B4">
        <v>18000000</v>
      </c>
    </row>
    <row r="5" spans="1:2" x14ac:dyDescent="0.4">
      <c r="A5" t="s">
        <v>7</v>
      </c>
      <c r="B5" s="1">
        <v>45383</v>
      </c>
    </row>
    <row r="6" spans="1:2" x14ac:dyDescent="0.4">
      <c r="A6" t="s">
        <v>8</v>
      </c>
      <c r="B6" s="1">
        <v>46112</v>
      </c>
    </row>
    <row r="7" spans="1:2" x14ac:dyDescent="0.4">
      <c r="A7" t="s">
        <v>9</v>
      </c>
      <c r="B7" t="s">
        <v>13</v>
      </c>
    </row>
    <row r="8" spans="1:2" x14ac:dyDescent="0.4">
      <c r="A8" t="s">
        <v>10</v>
      </c>
      <c r="B8" t="s">
        <v>11</v>
      </c>
    </row>
    <row r="9" spans="1:2" x14ac:dyDescent="0.4">
      <c r="A9" t="s">
        <v>12</v>
      </c>
      <c r="B9" s="2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2026-05-13T13:14:23Z</dcterms:modified>
</cp:coreProperties>
</file>