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s\project-cost-control\cost-plans\"/>
    </mc:Choice>
  </mc:AlternateContent>
  <xr:revisionPtr revIDLastSave="0" documentId="13_ncr:1_{E009FF16-9A9C-4360-BE28-CC4512D0DC53}" xr6:coauthVersionLast="47" xr6:coauthVersionMax="47" xr10:uidLastSave="{00000000-0000-0000-0000-000000000000}"/>
  <bookViews>
    <workbookView xWindow="-103" yWindow="-103" windowWidth="24892" windowHeight="14092" xr2:uid="{0C8C6BE1-598D-4333-9AA5-A074653745B1}"/>
  </bookViews>
  <sheets>
    <sheet name="Cost Plan" sheetId="1" r:id="rId1"/>
    <sheet name="CVR" sheetId="2" r:id="rId2"/>
    <sheet name="Project 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5" i="2"/>
  <c r="D11" i="2"/>
  <c r="E11" i="2" s="1"/>
  <c r="F11" i="2"/>
  <c r="D12" i="2"/>
  <c r="E12" i="2"/>
  <c r="F12" i="2"/>
  <c r="D13" i="2"/>
  <c r="E13" i="2"/>
  <c r="F13" i="2"/>
  <c r="D14" i="2"/>
  <c r="E14" i="2"/>
  <c r="F14" i="2"/>
  <c r="D15" i="2"/>
  <c r="E15" i="2"/>
  <c r="F15" i="2"/>
  <c r="D16" i="2"/>
  <c r="E16" i="2" s="1"/>
  <c r="F16" i="2"/>
  <c r="D17" i="2"/>
  <c r="E17" i="2"/>
  <c r="F17" i="2"/>
  <c r="D18" i="2"/>
  <c r="E18" i="2"/>
  <c r="F18" i="2"/>
  <c r="D19" i="2"/>
  <c r="E19" i="2" s="1"/>
  <c r="F19" i="2"/>
  <c r="D20" i="2"/>
  <c r="E20" i="2"/>
  <c r="F20" i="2"/>
  <c r="D21" i="2"/>
  <c r="E21" i="2" s="1"/>
  <c r="F21" i="2"/>
  <c r="D22" i="2"/>
  <c r="E22" i="2" s="1"/>
  <c r="F22" i="2"/>
  <c r="D23" i="2"/>
  <c r="E23" i="2" s="1"/>
  <c r="F23" i="2"/>
  <c r="B9" i="3"/>
  <c r="D26" i="1"/>
  <c r="E26" i="1"/>
  <c r="F26" i="1"/>
  <c r="D20" i="1"/>
  <c r="E20" i="1"/>
  <c r="F20" i="1"/>
  <c r="G20" i="1"/>
  <c r="H20" i="1"/>
  <c r="D16" i="1"/>
  <c r="E16" i="1"/>
  <c r="F16" i="1"/>
  <c r="G16" i="1"/>
  <c r="H16" i="1"/>
  <c r="D13" i="1"/>
  <c r="E13" i="1"/>
  <c r="F13" i="1"/>
  <c r="G13" i="1"/>
  <c r="G26" i="1" s="1"/>
  <c r="H13" i="1"/>
  <c r="H26" i="1" s="1"/>
  <c r="D9" i="1"/>
  <c r="E9" i="1"/>
  <c r="F9" i="1"/>
  <c r="G9" i="1"/>
  <c r="D5" i="1"/>
  <c r="E5" i="1"/>
  <c r="F5" i="1"/>
  <c r="G5" i="1"/>
  <c r="H5" i="1"/>
  <c r="C26" i="1"/>
  <c r="H9" i="1"/>
  <c r="C16" i="1"/>
  <c r="C13" i="1"/>
  <c r="C9" i="1"/>
  <c r="C5" i="1"/>
  <c r="E22" i="1"/>
  <c r="I22" i="1" s="1"/>
  <c r="E8" i="1" l="1"/>
  <c r="I8" i="1" s="1"/>
  <c r="E6" i="1"/>
  <c r="D5" i="2"/>
  <c r="E5" i="2" s="1"/>
  <c r="F5" i="2"/>
  <c r="D6" i="2"/>
  <c r="E6" i="2"/>
  <c r="F6" i="2"/>
  <c r="D7" i="2"/>
  <c r="E7" i="2" s="1"/>
  <c r="F7" i="2"/>
  <c r="D8" i="2"/>
  <c r="E8" i="2" s="1"/>
  <c r="F8" i="2"/>
  <c r="D9" i="2"/>
  <c r="E9" i="2" s="1"/>
  <c r="F9" i="2"/>
  <c r="D10" i="2"/>
  <c r="E10" i="2" s="1"/>
  <c r="F10" i="2"/>
  <c r="E7" i="1"/>
  <c r="I7" i="1" s="1"/>
  <c r="E10" i="1"/>
  <c r="E11" i="1"/>
  <c r="I11" i="1" s="1"/>
  <c r="E12" i="1"/>
  <c r="I12" i="1" s="1"/>
  <c r="I13" i="1"/>
  <c r="E14" i="1"/>
  <c r="E15" i="1"/>
  <c r="I15" i="1" s="1"/>
  <c r="E17" i="1"/>
  <c r="I17" i="1" s="1"/>
  <c r="E18" i="1"/>
  <c r="I18" i="1" s="1"/>
  <c r="E19" i="1"/>
  <c r="I19" i="1" s="1"/>
  <c r="A2" i="1"/>
  <c r="B1048576" i="2"/>
  <c r="C1048576" i="2"/>
  <c r="I14" i="1" l="1"/>
  <c r="J13" i="1"/>
  <c r="I10" i="1"/>
  <c r="J9" i="1"/>
  <c r="I6" i="1"/>
  <c r="J5" i="1"/>
  <c r="I16" i="1"/>
  <c r="I9" i="1"/>
  <c r="J16" i="1"/>
  <c r="I5" i="1" l="1"/>
  <c r="E25" i="1"/>
  <c r="I25" i="1" s="1"/>
  <c r="E24" i="1" l="1"/>
  <c r="I24" i="1" s="1"/>
  <c r="C20" i="1" l="1"/>
  <c r="E23" i="1"/>
  <c r="I23" i="1" l="1"/>
  <c r="I26" i="1"/>
  <c r="E21" i="1"/>
  <c r="J20" i="1" l="1"/>
  <c r="I21" i="1"/>
  <c r="I20" i="1"/>
  <c r="J26" i="1"/>
</calcChain>
</file>

<file path=xl/sharedStrings.xml><?xml version="1.0" encoding="utf-8"?>
<sst xmlns="http://schemas.openxmlformats.org/spreadsheetml/2006/main" count="79" uniqueCount="78">
  <si>
    <t>Project Name</t>
  </si>
  <si>
    <t>Client</t>
  </si>
  <si>
    <t>Contract Type</t>
  </si>
  <si>
    <t>Project Value</t>
  </si>
  <si>
    <t>Start Date</t>
  </si>
  <si>
    <t>Completion Date</t>
  </si>
  <si>
    <t>Project Manager</t>
  </si>
  <si>
    <t>Status</t>
  </si>
  <si>
    <t>In Progress</t>
  </si>
  <si>
    <t>% Complete</t>
  </si>
  <si>
    <t>Meridian Cost Consultants</t>
  </si>
  <si>
    <t>Element Ref</t>
  </si>
  <si>
    <t>Element Description</t>
  </si>
  <si>
    <t>Budget (£)</t>
  </si>
  <si>
    <t>Authorised Changes (£)</t>
  </si>
  <si>
    <t>Revised Budget (£)</t>
  </si>
  <si>
    <t>Committed (£)</t>
  </si>
  <si>
    <t>Actual to Date (£)</t>
  </si>
  <si>
    <t>Forecast Final Cost (£)</t>
  </si>
  <si>
    <t>Variance (£)</t>
  </si>
  <si>
    <t>1.0</t>
  </si>
  <si>
    <t>1.1</t>
  </si>
  <si>
    <t>1.2</t>
  </si>
  <si>
    <t>2.0</t>
  </si>
  <si>
    <t>2.1</t>
  </si>
  <si>
    <t>2.2</t>
  </si>
  <si>
    <t>2.3</t>
  </si>
  <si>
    <t>3.0</t>
  </si>
  <si>
    <t>3.1</t>
  </si>
  <si>
    <t>3.2</t>
  </si>
  <si>
    <t>4.0</t>
  </si>
  <si>
    <t>5.0</t>
  </si>
  <si>
    <t>5.1</t>
  </si>
  <si>
    <t>5.2</t>
  </si>
  <si>
    <t>6.0</t>
  </si>
  <si>
    <t>7.0</t>
  </si>
  <si>
    <t>8.0</t>
  </si>
  <si>
    <t>Preliminaries</t>
  </si>
  <si>
    <t>Contingency</t>
  </si>
  <si>
    <t>Total Project Cost</t>
  </si>
  <si>
    <t>Meridian Cost Consultants | Reporting Period: September 2024</t>
  </si>
  <si>
    <t>Month</t>
  </si>
  <si>
    <t>Cumulative Value (£)</t>
  </si>
  <si>
    <t>Cumulative Cost (£)</t>
  </si>
  <si>
    <t>Gross Margin (£)</t>
  </si>
  <si>
    <t>Margin %</t>
  </si>
  <si>
    <t>CPI</t>
  </si>
  <si>
    <t>EAC</t>
  </si>
  <si>
    <t>Urban Highway Improvement Scheme</t>
  </si>
  <si>
    <t>Transport for Greater Manchester</t>
  </si>
  <si>
    <t>NEC4 Engineering and Construction Contract</t>
  </si>
  <si>
    <t>Urban Highway Improvement Scheme — Elemental Cost Plan</t>
  </si>
  <si>
    <t>Urban Highway Improvement Scheme — Cost Value Reconciliation</t>
  </si>
  <si>
    <t>1.3</t>
  </si>
  <si>
    <t>4.1</t>
  </si>
  <si>
    <t>4.2</t>
  </si>
  <si>
    <t>4.3</t>
  </si>
  <si>
    <t>Demolition &amp; Site Clearance</t>
  </si>
  <si>
    <t>Demolition of Existing Structures</t>
  </si>
  <si>
    <t>Site Clearance &amp; Stripping</t>
  </si>
  <si>
    <t>Contamination Remediation</t>
  </si>
  <si>
    <t>Earthworks</t>
  </si>
  <si>
    <t>Bulk Excavation &amp; Filling</t>
  </si>
  <si>
    <t>Embankments &amp; Cuttings</t>
  </si>
  <si>
    <t>Temporary Works &amp; Support</t>
  </si>
  <si>
    <t>Pavements</t>
  </si>
  <si>
    <t>Carriageway Construction</t>
  </si>
  <si>
    <t>Footways &amp; Cycleways</t>
  </si>
  <si>
    <t>Structures</t>
  </si>
  <si>
    <t>Bridges &amp; Culverts</t>
  </si>
  <si>
    <t>Retaining Walls</t>
  </si>
  <si>
    <t>Drainage Structures</t>
  </si>
  <si>
    <t>Highway Services &amp; Lighting</t>
  </si>
  <si>
    <t>Street Lighting</t>
  </si>
  <si>
    <t>Traffic Signals &amp; ITS</t>
  </si>
  <si>
    <t>Landscaping &amp; Ecology</t>
  </si>
  <si>
    <t>Sector</t>
  </si>
  <si>
    <t>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</si>
</sst>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0">
    <xf numFmtId="0" fontId="0" fillId="0" borderId="0" xfId="0"/>
    <xf numFmtId="0" fontId="1" fillId="3" borderId="0" xfId="1" applyFont="1" applyFill="1" applyAlignment="1">
      <alignment horizontal="center"/>
    </xf>
    <xf numFmtId="49" fontId="0" fillId="0" borderId="0" xfId="0" applyNumberFormat="1"/>
    <xf numFmtId="0" fontId="2" fillId="4" borderId="0" xfId="0" applyFont="1" applyFill="1"/>
    <xf numFmtId="0" fontId="2" fillId="3" borderId="0" xfId="0" applyFont="1" applyFill="1"/>
    <xf numFmtId="0" fontId="0" fillId="5" borderId="0" xfId="0" applyFill="1"/>
    <xf numFmtId="0" fontId="0" fillId="6" borderId="0" xfId="0" applyFill="1"/>
    <xf numFmtId="49" fontId="1" fillId="3" borderId="0" xfId="1" applyNumberFormat="1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6" borderId="0" xfId="0" applyNumberFormat="1" applyFill="1" applyAlignment="1">
      <alignment horizontal="left"/>
    </xf>
    <xf numFmtId="9" fontId="2" fillId="4" borderId="0" xfId="2" applyFont="1" applyFill="1"/>
    <xf numFmtId="9" fontId="0" fillId="5" borderId="0" xfId="2" applyFont="1" applyFill="1"/>
    <xf numFmtId="9" fontId="0" fillId="6" borderId="0" xfId="2" applyFont="1" applyFill="1"/>
    <xf numFmtId="9" fontId="2" fillId="3" borderId="0" xfId="2" applyFont="1" applyFill="1"/>
    <xf numFmtId="17" fontId="0" fillId="5" borderId="1" xfId="0" applyNumberFormat="1" applyFill="1" applyBorder="1"/>
    <xf numFmtId="165" fontId="0" fillId="5" borderId="0" xfId="3" applyNumberFormat="1" applyFont="1" applyFill="1" applyBorder="1"/>
    <xf numFmtId="164" fontId="0" fillId="5" borderId="0" xfId="2" applyNumberFormat="1" applyFont="1" applyFill="1" applyBorder="1"/>
    <xf numFmtId="165" fontId="0" fillId="5" borderId="2" xfId="3" applyNumberFormat="1" applyFont="1" applyFill="1" applyBorder="1"/>
    <xf numFmtId="17" fontId="0" fillId="0" borderId="1" xfId="0" applyNumberFormat="1" applyBorder="1"/>
    <xf numFmtId="165" fontId="0" fillId="0" borderId="0" xfId="3" applyNumberFormat="1" applyFont="1" applyBorder="1"/>
    <xf numFmtId="164" fontId="0" fillId="0" borderId="0" xfId="2" applyNumberFormat="1" applyFont="1" applyBorder="1"/>
    <xf numFmtId="165" fontId="0" fillId="0" borderId="2" xfId="3" applyNumberFormat="1" applyFont="1" applyBorder="1"/>
    <xf numFmtId="38" fontId="0" fillId="5" borderId="0" xfId="3" applyNumberFormat="1" applyFont="1" applyFill="1" applyBorder="1"/>
    <xf numFmtId="38" fontId="0" fillId="0" borderId="0" xfId="3" applyNumberFormat="1" applyFont="1" applyBorder="1"/>
    <xf numFmtId="0" fontId="6" fillId="5" borderId="2" xfId="0" applyFont="1" applyFill="1" applyBorder="1"/>
    <xf numFmtId="0" fontId="6" fillId="6" borderId="2" xfId="0" applyFont="1" applyFill="1" applyBorder="1"/>
    <xf numFmtId="0" fontId="6" fillId="5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14" fontId="6" fillId="5" borderId="0" xfId="0" applyNumberFormat="1" applyFont="1" applyFill="1" applyAlignment="1">
      <alignment horizontal="left"/>
    </xf>
    <xf numFmtId="14" fontId="6" fillId="6" borderId="0" xfId="0" applyNumberFormat="1" applyFont="1" applyFill="1" applyAlignment="1">
      <alignment horizontal="left"/>
    </xf>
    <xf numFmtId="9" fontId="6" fillId="5" borderId="0" xfId="0" applyNumberFormat="1" applyFont="1" applyFill="1" applyAlignment="1">
      <alignment horizontal="left"/>
    </xf>
    <xf numFmtId="165" fontId="2" fillId="4" borderId="0" xfId="3" applyNumberFormat="1" applyFont="1" applyFill="1"/>
    <xf numFmtId="165" fontId="0" fillId="5" borderId="0" xfId="3" applyNumberFormat="1" applyFont="1" applyFill="1"/>
    <xf numFmtId="165" fontId="0" fillId="6" borderId="0" xfId="3" applyNumberFormat="1" applyFont="1" applyFill="1"/>
    <xf numFmtId="165" fontId="2" fillId="3" borderId="0" xfId="3" applyNumberFormat="1" applyFont="1" applyFill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2" fontId="0" fillId="5" borderId="0" xfId="0" applyNumberFormat="1" applyFill="1"/>
    <xf numFmtId="2" fontId="0" fillId="0" borderId="0" xfId="0" applyNumberFormat="1"/>
    <xf numFmtId="165" fontId="0" fillId="5" borderId="4" xfId="3" applyNumberFormat="1" applyFont="1" applyFill="1" applyBorder="1"/>
    <xf numFmtId="38" fontId="0" fillId="5" borderId="4" xfId="3" applyNumberFormat="1" applyFont="1" applyFill="1" applyBorder="1"/>
    <xf numFmtId="164" fontId="0" fillId="5" borderId="4" xfId="2" applyNumberFormat="1" applyFont="1" applyFill="1" applyBorder="1"/>
    <xf numFmtId="2" fontId="0" fillId="5" borderId="4" xfId="0" applyNumberFormat="1" applyFill="1" applyBorder="1"/>
    <xf numFmtId="17" fontId="0" fillId="5" borderId="6" xfId="0" applyNumberFormat="1" applyFill="1" applyBorder="1"/>
    <xf numFmtId="165" fontId="0" fillId="5" borderId="7" xfId="3" applyNumberFormat="1" applyFont="1" applyFill="1" applyBorder="1"/>
    <xf numFmtId="38" fontId="0" fillId="5" borderId="7" xfId="3" applyNumberFormat="1" applyFont="1" applyFill="1" applyBorder="1"/>
    <xf numFmtId="164" fontId="0" fillId="5" borderId="7" xfId="2" applyNumberFormat="1" applyFont="1" applyFill="1" applyBorder="1"/>
    <xf numFmtId="2" fontId="0" fillId="5" borderId="7" xfId="0" applyNumberFormat="1" applyFill="1" applyBorder="1"/>
    <xf numFmtId="165" fontId="0" fillId="5" borderId="8" xfId="3" applyNumberFormat="1" applyFont="1" applyFill="1" applyBorder="1"/>
    <xf numFmtId="17" fontId="0" fillId="5" borderId="3" xfId="0" applyNumberFormat="1" applyFill="1" applyBorder="1"/>
    <xf numFmtId="165" fontId="0" fillId="5" borderId="5" xfId="3" applyNumberFormat="1" applyFont="1" applyFill="1" applyBorder="1"/>
    <xf numFmtId="37" fontId="1" fillId="4" borderId="0" xfId="3" applyNumberFormat="1" applyFont="1" applyFill="1"/>
    <xf numFmtId="37" fontId="4" fillId="5" borderId="0" xfId="3" applyNumberFormat="1" applyFont="1" applyFill="1"/>
    <xf numFmtId="37" fontId="4" fillId="6" borderId="0" xfId="3" applyNumberFormat="1" applyFont="1" applyFill="1"/>
    <xf numFmtId="37" fontId="1" fillId="3" borderId="0" xfId="3" applyNumberFormat="1" applyFont="1" applyFill="1"/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6" fillId="6" borderId="0" xfId="3" applyNumberFormat="1" applyFont="1" applyFill="1" applyAlignment="1">
      <alignment horizontal="left"/>
    </xf>
  </cellXfs>
  <cellStyles count="4">
    <cellStyle name="Accent1" xfId="1" builtinId="29"/>
    <cellStyle name="Comma" xfId="3" builtinId="3"/>
    <cellStyle name="Normal" xfId="0" builtinId="0"/>
    <cellStyle name="Per cent" xfId="2" builtinId="5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AD4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70AD47"/>
        </patternFill>
      </fill>
    </dxf>
  </dxfs>
  <tableStyles count="0" defaultTableStyle="TableStyleMedium2" defaultPivotStyle="PivotStyleLight16"/>
  <colors>
    <mruColors>
      <color rgb="FFD9D9D9"/>
      <color rgb="FF2E5496"/>
      <color rgb="FF1F3864"/>
      <color rgb="FF70AD47"/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Cumulative Value vs Cost — Urban Highway Improvement Scheme</a:t>
            </a:r>
            <a:endParaRPr lang="en-GB"/>
          </a:p>
        </c:rich>
      </c:tx>
      <c:layout>
        <c:manualLayout>
          <c:xMode val="edge"/>
          <c:yMode val="edge"/>
          <c:x val="0.1776994584635650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CVR!$B$4</c:f>
              <c:strCache>
                <c:ptCount val="1"/>
                <c:pt idx="0">
                  <c:v>Cumulative Value (£)</c:v>
                </c:pt>
              </c:strCache>
            </c:strRef>
          </c:tx>
          <c:spPr>
            <a:ln w="28575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1F3864"/>
                </a:solidFill>
              </a:ln>
              <a:effectLst/>
            </c:spPr>
          </c:marker>
          <c:dLbls>
            <c:dLbl>
              <c:idx val="18"/>
              <c:layout>
                <c:manualLayout>
                  <c:x val="-1.5467172101605925E-2"/>
                  <c:y val="7.9329881130107249E-2"/>
                </c:manualLayout>
              </c:layout>
              <c:numFmt formatCode="&quot;£&quot;#,##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A1-4BB2-81B8-6F9D14B124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CVR!$A$5:$A$23</c:f>
              <c:numCache>
                <c:formatCode>mmm\-yy</c:formatCode>
                <c:ptCount val="19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</c:numCache>
            </c:numRef>
          </c:cat>
          <c:val>
            <c:numRef>
              <c:f>CVR!$B$5:$B$23</c:f>
              <c:numCache>
                <c:formatCode>_-* #,##0_-;\-* #,##0_-;_-* "-"??_-;_-@_-</c:formatCode>
                <c:ptCount val="19"/>
                <c:pt idx="0">
                  <c:v>480000</c:v>
                </c:pt>
                <c:pt idx="1">
                  <c:v>980000</c:v>
                </c:pt>
                <c:pt idx="2">
                  <c:v>1650000</c:v>
                </c:pt>
                <c:pt idx="3">
                  <c:v>2100000</c:v>
                </c:pt>
                <c:pt idx="4">
                  <c:v>2820000</c:v>
                </c:pt>
                <c:pt idx="5">
                  <c:v>3680000</c:v>
                </c:pt>
                <c:pt idx="6">
                  <c:v>4950000</c:v>
                </c:pt>
                <c:pt idx="7">
                  <c:v>6240000</c:v>
                </c:pt>
                <c:pt idx="8">
                  <c:v>7680000</c:v>
                </c:pt>
                <c:pt idx="9">
                  <c:v>9120000</c:v>
                </c:pt>
                <c:pt idx="10">
                  <c:v>10560000</c:v>
                </c:pt>
                <c:pt idx="11">
                  <c:v>11800000</c:v>
                </c:pt>
                <c:pt idx="12">
                  <c:v>12950000</c:v>
                </c:pt>
                <c:pt idx="13">
                  <c:v>13920000</c:v>
                </c:pt>
                <c:pt idx="14">
                  <c:v>14650000</c:v>
                </c:pt>
                <c:pt idx="15">
                  <c:v>15280000</c:v>
                </c:pt>
                <c:pt idx="16">
                  <c:v>15820000</c:v>
                </c:pt>
                <c:pt idx="17">
                  <c:v>16250000</c:v>
                </c:pt>
                <c:pt idx="18">
                  <c:v>16640000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7-424D-8F78-650AFDB2B1C9}"/>
            </c:ext>
          </c:extLst>
        </c:ser>
        <c:ser>
          <c:idx val="1"/>
          <c:order val="1"/>
          <c:tx>
            <c:strRef>
              <c:f>CVR!$C$4</c:f>
              <c:strCache>
                <c:ptCount val="1"/>
                <c:pt idx="0">
                  <c:v>Cumulative Cost (£)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8"/>
              <c:layout>
                <c:manualLayout>
                  <c:x val="-7.0707072464484225E-2"/>
                  <c:y val="-4.82877537313696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A1-4BB2-81B8-6F9D14B124BD}"/>
                </c:ext>
              </c:extLst>
            </c:dLbl>
            <c:numFmt formatCode="&quot;£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CVR!$A$5:$A$23</c:f>
              <c:numCache>
                <c:formatCode>mmm\-yy</c:formatCode>
                <c:ptCount val="19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</c:numCache>
            </c:numRef>
          </c:cat>
          <c:val>
            <c:numRef>
              <c:f>CVR!$C$5:$C$23</c:f>
              <c:numCache>
                <c:formatCode>_-* #,##0_-;\-* #,##0_-;_-* "-"??_-;_-@_-</c:formatCode>
                <c:ptCount val="19"/>
                <c:pt idx="0">
                  <c:v>510000</c:v>
                </c:pt>
                <c:pt idx="1">
                  <c:v>1050000</c:v>
                </c:pt>
                <c:pt idx="2">
                  <c:v>1780000</c:v>
                </c:pt>
                <c:pt idx="3">
                  <c:v>2280000</c:v>
                </c:pt>
                <c:pt idx="4">
                  <c:v>3050000</c:v>
                </c:pt>
                <c:pt idx="5">
                  <c:v>3980000</c:v>
                </c:pt>
                <c:pt idx="6">
                  <c:v>5280000</c:v>
                </c:pt>
                <c:pt idx="7">
                  <c:v>6620000</c:v>
                </c:pt>
                <c:pt idx="8">
                  <c:v>8100000</c:v>
                </c:pt>
                <c:pt idx="9">
                  <c:v>9650000</c:v>
                </c:pt>
                <c:pt idx="10">
                  <c:v>11150000</c:v>
                </c:pt>
                <c:pt idx="11">
                  <c:v>12450000</c:v>
                </c:pt>
                <c:pt idx="12">
                  <c:v>13650000</c:v>
                </c:pt>
                <c:pt idx="13">
                  <c:v>14650000</c:v>
                </c:pt>
                <c:pt idx="14">
                  <c:v>15420000</c:v>
                </c:pt>
                <c:pt idx="15">
                  <c:v>16080000</c:v>
                </c:pt>
                <c:pt idx="16">
                  <c:v>16650000</c:v>
                </c:pt>
                <c:pt idx="17">
                  <c:v>17100000</c:v>
                </c:pt>
                <c:pt idx="18">
                  <c:v>17610000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7-424D-8F78-650AFDB2B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057632"/>
        <c:axId val="1240059072"/>
      </c:lineChart>
      <c:dateAx>
        <c:axId val="1240057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9072"/>
        <c:crosses val="autoZero"/>
        <c:auto val="1"/>
        <c:lblOffset val="100"/>
        <c:baseTimeUnit val="months"/>
      </c:dateAx>
      <c:valAx>
        <c:axId val="12400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114299</xdr:colOff>
      <xdr:row>3</xdr:row>
      <xdr:rowOff>8164</xdr:rowOff>
    </xdr:from>
    <xdr:to>
      <xdr:col>15</xdr:col>
      <xdr:colOff>636813</xdr:colOff>
      <xdr:row>22</xdr:row>
      <xdr:rowOff>174171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E3656-B091-E91D-957A-6A1A3B010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ADDD4B-ED9F-435E-AC38-9852B634074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e0ff0a3-417f-49c5-a90f-eb41d57900c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A9C0-9C58-4F75-869D-8D1A35F325AC}">
  <dimension ref="A1:J26"/>
  <sheetViews>
    <sheetView tabSelected="1" topLeftCell="A2" workbookViewId="0">
      <selection activeCell="D7" sqref="D7"/>
    </sheetView>
  </sheetViews>
  <sheetFormatPr defaultRowHeight="14.6" outlineLevelRow="1" x14ac:dyDescent="0.4"/>
  <cols>
    <col min="1" max="1" width="12.69140625" style="2" customWidth="1"/>
    <col min="2" max="2" width="35.69140625" customWidth="1"/>
    <col min="3" max="3" width="16.69140625" customWidth="1"/>
    <col min="4" max="4" width="20.69140625" customWidth="1"/>
    <col min="5" max="7" width="16.69140625" customWidth="1"/>
    <col min="8" max="8" width="20.69140625" customWidth="1"/>
    <col min="9" max="9" width="16.69140625" customWidth="1"/>
    <col min="10" max="10" width="14.69140625" customWidth="1"/>
  </cols>
  <sheetData>
    <row r="1" spans="1:10" ht="35.049999999999997" customHeight="1" x14ac:dyDescent="0.4">
      <c r="A1" s="57" t="s">
        <v>51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25" customHeight="1" x14ac:dyDescent="0.4">
      <c r="A2" s="58" t="str">
        <f ca="1">"Meridian Cost Consultants | Report Date: "&amp;TEXT(TODAY(),"DD MMMM YYYY")</f>
        <v>Meridian Cost Consultants | Report Date: 16 May 2026</v>
      </c>
      <c r="B2" s="58"/>
      <c r="C2" s="58"/>
      <c r="D2" s="58"/>
      <c r="E2" s="58"/>
      <c r="F2" s="58"/>
      <c r="G2" s="58"/>
      <c r="H2" s="58"/>
      <c r="I2" s="58"/>
      <c r="J2" s="58"/>
    </row>
    <row r="4" spans="1:10" ht="30" customHeight="1" x14ac:dyDescent="0.4">
      <c r="A4" s="7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9</v>
      </c>
    </row>
    <row r="5" spans="1:10" x14ac:dyDescent="0.4">
      <c r="A5" s="8" t="s">
        <v>20</v>
      </c>
      <c r="B5" s="3" t="s">
        <v>57</v>
      </c>
      <c r="C5" s="32">
        <f>SUM(C6:C8)</f>
        <v>1280000</v>
      </c>
      <c r="D5" s="32">
        <f t="shared" ref="D5:H5" si="0">SUM(D6:D8)</f>
        <v>180000</v>
      </c>
      <c r="E5" s="32">
        <f t="shared" si="0"/>
        <v>1460000</v>
      </c>
      <c r="F5" s="32">
        <f t="shared" si="0"/>
        <v>1440000</v>
      </c>
      <c r="G5" s="32">
        <f t="shared" si="0"/>
        <v>1340000</v>
      </c>
      <c r="H5" s="32">
        <f t="shared" si="0"/>
        <v>1580000</v>
      </c>
      <c r="I5" s="53">
        <f>E5-H5</f>
        <v>-120000</v>
      </c>
      <c r="J5" s="11">
        <f>SUMPRODUCT(E6:E8, J6:J8)/SUM(E6:E8)</f>
        <v>0.94863013698630139</v>
      </c>
    </row>
    <row r="6" spans="1:10" outlineLevel="1" x14ac:dyDescent="0.4">
      <c r="A6" s="9" t="s">
        <v>21</v>
      </c>
      <c r="B6" s="5" t="s">
        <v>58</v>
      </c>
      <c r="C6" s="33">
        <v>640000</v>
      </c>
      <c r="D6" s="33"/>
      <c r="E6" s="33">
        <f t="shared" ref="E6:E25" si="1">SUM(C6:D6)</f>
        <v>640000</v>
      </c>
      <c r="F6" s="33">
        <v>640000</v>
      </c>
      <c r="G6" s="33">
        <v>640000</v>
      </c>
      <c r="H6" s="33">
        <v>640000</v>
      </c>
      <c r="I6" s="54">
        <f t="shared" ref="I6:I25" si="2">E6-H6</f>
        <v>0</v>
      </c>
      <c r="J6" s="12">
        <v>1</v>
      </c>
    </row>
    <row r="7" spans="1:10" outlineLevel="1" x14ac:dyDescent="0.4">
      <c r="A7" s="10" t="s">
        <v>22</v>
      </c>
      <c r="B7" s="6" t="s">
        <v>59</v>
      </c>
      <c r="C7" s="34">
        <v>320000</v>
      </c>
      <c r="D7" s="34"/>
      <c r="E7" s="34">
        <f t="shared" si="1"/>
        <v>320000</v>
      </c>
      <c r="F7" s="34">
        <v>320000</v>
      </c>
      <c r="G7" s="34">
        <v>320000</v>
      </c>
      <c r="H7" s="34">
        <v>320000</v>
      </c>
      <c r="I7" s="55">
        <f t="shared" si="2"/>
        <v>0</v>
      </c>
      <c r="J7" s="13">
        <v>1</v>
      </c>
    </row>
    <row r="8" spans="1:10" outlineLevel="1" x14ac:dyDescent="0.4">
      <c r="A8" s="9" t="s">
        <v>53</v>
      </c>
      <c r="B8" s="5" t="s">
        <v>60</v>
      </c>
      <c r="C8" s="33">
        <v>320000</v>
      </c>
      <c r="D8" s="33">
        <v>180000</v>
      </c>
      <c r="E8" s="33">
        <f t="shared" ref="E8" si="3">SUM(C8:D8)</f>
        <v>500000</v>
      </c>
      <c r="F8" s="33">
        <v>480000</v>
      </c>
      <c r="G8" s="33">
        <v>380000</v>
      </c>
      <c r="H8" s="33">
        <v>620000</v>
      </c>
      <c r="I8" s="54">
        <f t="shared" ref="I8" si="4">E8-H8</f>
        <v>-120000</v>
      </c>
      <c r="J8" s="12">
        <v>0.85</v>
      </c>
    </row>
    <row r="9" spans="1:10" x14ac:dyDescent="0.4">
      <c r="A9" s="8" t="s">
        <v>23</v>
      </c>
      <c r="B9" s="3" t="s">
        <v>61</v>
      </c>
      <c r="C9" s="32">
        <f>SUM(C10:C12)</f>
        <v>6400000</v>
      </c>
      <c r="D9" s="32">
        <f t="shared" ref="D9:G9" si="5">SUM(D10:D12)</f>
        <v>95000</v>
      </c>
      <c r="E9" s="32">
        <f t="shared" si="5"/>
        <v>6495000</v>
      </c>
      <c r="F9" s="32">
        <f t="shared" si="5"/>
        <v>5695000</v>
      </c>
      <c r="G9" s="32">
        <f t="shared" si="5"/>
        <v>4560000</v>
      </c>
      <c r="H9" s="32">
        <f>SUM(H10:H12)</f>
        <v>7100000</v>
      </c>
      <c r="I9" s="53">
        <f t="shared" si="2"/>
        <v>-605000</v>
      </c>
      <c r="J9" s="11">
        <f>SUMPRODUCT(E10:E12,J10:J12)/SUM(E10:E12)</f>
        <v>0.66870669745958433</v>
      </c>
    </row>
    <row r="10" spans="1:10" outlineLevel="1" x14ac:dyDescent="0.4">
      <c r="A10" s="9" t="s">
        <v>24</v>
      </c>
      <c r="B10" s="5" t="s">
        <v>62</v>
      </c>
      <c r="C10" s="33">
        <v>3200000</v>
      </c>
      <c r="D10" s="33">
        <v>95000</v>
      </c>
      <c r="E10" s="33">
        <f t="shared" si="1"/>
        <v>3295000</v>
      </c>
      <c r="F10" s="33">
        <v>3295000</v>
      </c>
      <c r="G10" s="33">
        <v>2640000</v>
      </c>
      <c r="H10" s="33">
        <v>3580000</v>
      </c>
      <c r="I10" s="54">
        <f t="shared" si="2"/>
        <v>-285000</v>
      </c>
      <c r="J10" s="12">
        <v>0.75</v>
      </c>
    </row>
    <row r="11" spans="1:10" outlineLevel="1" x14ac:dyDescent="0.4">
      <c r="A11" s="10" t="s">
        <v>25</v>
      </c>
      <c r="B11" s="6" t="s">
        <v>63</v>
      </c>
      <c r="C11" s="34">
        <v>2240000</v>
      </c>
      <c r="D11" s="34"/>
      <c r="E11" s="34">
        <f t="shared" si="1"/>
        <v>2240000</v>
      </c>
      <c r="F11" s="34">
        <v>1680000</v>
      </c>
      <c r="G11" s="34">
        <v>1344000</v>
      </c>
      <c r="H11" s="34">
        <v>2420000</v>
      </c>
      <c r="I11" s="55">
        <f t="shared" si="2"/>
        <v>-180000</v>
      </c>
      <c r="J11" s="13">
        <v>0.6</v>
      </c>
    </row>
    <row r="12" spans="1:10" outlineLevel="1" x14ac:dyDescent="0.4">
      <c r="A12" s="9" t="s">
        <v>26</v>
      </c>
      <c r="B12" s="5" t="s">
        <v>64</v>
      </c>
      <c r="C12" s="33">
        <v>960000</v>
      </c>
      <c r="D12" s="33"/>
      <c r="E12" s="33">
        <f t="shared" si="1"/>
        <v>960000</v>
      </c>
      <c r="F12" s="33">
        <v>720000</v>
      </c>
      <c r="G12" s="33">
        <v>576000</v>
      </c>
      <c r="H12" s="33">
        <v>1100000</v>
      </c>
      <c r="I12" s="54">
        <f t="shared" si="2"/>
        <v>-140000</v>
      </c>
      <c r="J12" s="12">
        <v>0.55000000000000004</v>
      </c>
    </row>
    <row r="13" spans="1:10" x14ac:dyDescent="0.4">
      <c r="A13" s="8" t="s">
        <v>27</v>
      </c>
      <c r="B13" s="3" t="s">
        <v>65</v>
      </c>
      <c r="C13" s="32">
        <f>SUM(C14:C15)</f>
        <v>5760000</v>
      </c>
      <c r="D13" s="32">
        <f t="shared" ref="D13:H13" si="6">SUM(D14:D15)</f>
        <v>0</v>
      </c>
      <c r="E13" s="32">
        <f t="shared" si="6"/>
        <v>5760000</v>
      </c>
      <c r="F13" s="32">
        <f t="shared" si="6"/>
        <v>3328000</v>
      </c>
      <c r="G13" s="32">
        <f t="shared" si="6"/>
        <v>1664000</v>
      </c>
      <c r="H13" s="32">
        <f t="shared" si="6"/>
        <v>5760000</v>
      </c>
      <c r="I13" s="53">
        <f t="shared" si="2"/>
        <v>0</v>
      </c>
      <c r="J13" s="11">
        <f>SUMPRODUCT(E14:E15,J14:J15)/SUM(E14:E15)</f>
        <v>0.28888888888888886</v>
      </c>
    </row>
    <row r="14" spans="1:10" outlineLevel="1" x14ac:dyDescent="0.4">
      <c r="A14" s="9" t="s">
        <v>28</v>
      </c>
      <c r="B14" s="5" t="s">
        <v>66</v>
      </c>
      <c r="C14" s="33">
        <v>4480000</v>
      </c>
      <c r="D14" s="33"/>
      <c r="E14" s="33">
        <f t="shared" si="1"/>
        <v>4480000</v>
      </c>
      <c r="F14" s="33">
        <v>2688000</v>
      </c>
      <c r="G14" s="33">
        <v>1344000</v>
      </c>
      <c r="H14" s="33">
        <v>4480000</v>
      </c>
      <c r="I14" s="54">
        <f t="shared" si="2"/>
        <v>0</v>
      </c>
      <c r="J14" s="12">
        <v>0.3</v>
      </c>
    </row>
    <row r="15" spans="1:10" outlineLevel="1" x14ac:dyDescent="0.4">
      <c r="A15" s="10" t="s">
        <v>29</v>
      </c>
      <c r="B15" s="6" t="s">
        <v>67</v>
      </c>
      <c r="C15" s="34">
        <v>1280000</v>
      </c>
      <c r="D15" s="34"/>
      <c r="E15" s="34">
        <f t="shared" si="1"/>
        <v>1280000</v>
      </c>
      <c r="F15" s="34">
        <v>640000</v>
      </c>
      <c r="G15" s="34">
        <v>320000</v>
      </c>
      <c r="H15" s="34">
        <v>1280000</v>
      </c>
      <c r="I15" s="55">
        <f t="shared" si="2"/>
        <v>0</v>
      </c>
      <c r="J15" s="13">
        <v>0.25</v>
      </c>
    </row>
    <row r="16" spans="1:10" x14ac:dyDescent="0.4">
      <c r="A16" s="8" t="s">
        <v>30</v>
      </c>
      <c r="B16" s="3" t="s">
        <v>68</v>
      </c>
      <c r="C16" s="32">
        <f>SUM(C17:C19)</f>
        <v>7040000</v>
      </c>
      <c r="D16" s="32">
        <f t="shared" ref="D16:H16" si="7">SUM(D17:D19)</f>
        <v>220000</v>
      </c>
      <c r="E16" s="32">
        <f t="shared" si="7"/>
        <v>7260000</v>
      </c>
      <c r="F16" s="32">
        <f t="shared" si="7"/>
        <v>5664000</v>
      </c>
      <c r="G16" s="32">
        <f t="shared" si="7"/>
        <v>3648000</v>
      </c>
      <c r="H16" s="32">
        <f t="shared" si="7"/>
        <v>7650000</v>
      </c>
      <c r="I16" s="53">
        <f t="shared" si="2"/>
        <v>-390000</v>
      </c>
      <c r="J16" s="11">
        <f>SUMPRODUCT(E17:E19,J17:J19)/SUM(E17:E19)</f>
        <v>0.47947658402203858</v>
      </c>
    </row>
    <row r="17" spans="1:10" outlineLevel="1" x14ac:dyDescent="0.4">
      <c r="A17" s="9" t="s">
        <v>54</v>
      </c>
      <c r="B17" s="5" t="s">
        <v>69</v>
      </c>
      <c r="C17" s="33">
        <v>4800000</v>
      </c>
      <c r="D17" s="33">
        <v>220000</v>
      </c>
      <c r="E17" s="33">
        <f t="shared" si="1"/>
        <v>5020000</v>
      </c>
      <c r="F17" s="33">
        <v>4320000</v>
      </c>
      <c r="G17" s="33">
        <v>2880000</v>
      </c>
      <c r="H17" s="33">
        <v>5200000</v>
      </c>
      <c r="I17" s="54">
        <f t="shared" si="2"/>
        <v>-180000</v>
      </c>
      <c r="J17" s="12">
        <v>0.55000000000000004</v>
      </c>
    </row>
    <row r="18" spans="1:10" outlineLevel="1" x14ac:dyDescent="0.4">
      <c r="A18" s="10" t="s">
        <v>55</v>
      </c>
      <c r="B18" s="6" t="s">
        <v>70</v>
      </c>
      <c r="C18" s="34">
        <v>1600000</v>
      </c>
      <c r="D18" s="34"/>
      <c r="E18" s="34">
        <f t="shared" si="1"/>
        <v>1600000</v>
      </c>
      <c r="F18" s="34">
        <v>960000</v>
      </c>
      <c r="G18" s="34">
        <v>576000</v>
      </c>
      <c r="H18" s="34">
        <v>1750000</v>
      </c>
      <c r="I18" s="55">
        <f t="shared" si="2"/>
        <v>-150000</v>
      </c>
      <c r="J18" s="13">
        <v>0.35</v>
      </c>
    </row>
    <row r="19" spans="1:10" outlineLevel="1" x14ac:dyDescent="0.4">
      <c r="A19" s="9" t="s">
        <v>56</v>
      </c>
      <c r="B19" s="5" t="s">
        <v>71</v>
      </c>
      <c r="C19" s="33">
        <v>640000</v>
      </c>
      <c r="D19" s="33"/>
      <c r="E19" s="33">
        <f t="shared" si="1"/>
        <v>640000</v>
      </c>
      <c r="F19" s="33">
        <v>384000</v>
      </c>
      <c r="G19" s="33">
        <v>192000</v>
      </c>
      <c r="H19" s="33">
        <v>700000</v>
      </c>
      <c r="I19" s="54">
        <f t="shared" si="2"/>
        <v>-60000</v>
      </c>
      <c r="J19" s="12">
        <v>0.25</v>
      </c>
    </row>
    <row r="20" spans="1:10" x14ac:dyDescent="0.4">
      <c r="A20" s="8" t="s">
        <v>31</v>
      </c>
      <c r="B20" s="3" t="s">
        <v>72</v>
      </c>
      <c r="C20" s="32">
        <f>SUM(C21:C22)</f>
        <v>2560000</v>
      </c>
      <c r="D20" s="32">
        <f t="shared" ref="D20:H20" si="8">SUM(D21:D22)</f>
        <v>0</v>
      </c>
      <c r="E20" s="32">
        <f t="shared" si="8"/>
        <v>2560000</v>
      </c>
      <c r="F20" s="32">
        <f t="shared" si="8"/>
        <v>928000</v>
      </c>
      <c r="G20" s="32">
        <f t="shared" si="8"/>
        <v>464000</v>
      </c>
      <c r="H20" s="32">
        <f t="shared" si="8"/>
        <v>2560000</v>
      </c>
      <c r="I20" s="53">
        <f t="shared" si="2"/>
        <v>0</v>
      </c>
      <c r="J20" s="11">
        <f>SUMPRODUCT(E21:E22,J21:J22)/SUM(E21:E22)</f>
        <v>0.18124999999999999</v>
      </c>
    </row>
    <row r="21" spans="1:10" outlineLevel="1" x14ac:dyDescent="0.4">
      <c r="A21" s="9" t="s">
        <v>32</v>
      </c>
      <c r="B21" s="5" t="s">
        <v>73</v>
      </c>
      <c r="C21" s="33">
        <v>1600000</v>
      </c>
      <c r="D21" s="33"/>
      <c r="E21" s="33">
        <f t="shared" si="1"/>
        <v>1600000</v>
      </c>
      <c r="F21" s="33">
        <v>640000</v>
      </c>
      <c r="G21" s="33">
        <v>320000</v>
      </c>
      <c r="H21" s="33">
        <v>1600000</v>
      </c>
      <c r="I21" s="54">
        <f t="shared" si="2"/>
        <v>0</v>
      </c>
      <c r="J21" s="12">
        <v>0.2</v>
      </c>
    </row>
    <row r="22" spans="1:10" outlineLevel="1" x14ac:dyDescent="0.4">
      <c r="A22" s="10" t="s">
        <v>33</v>
      </c>
      <c r="B22" s="6" t="s">
        <v>74</v>
      </c>
      <c r="C22" s="34">
        <v>960000</v>
      </c>
      <c r="D22" s="34"/>
      <c r="E22" s="34">
        <f t="shared" si="1"/>
        <v>960000</v>
      </c>
      <c r="F22" s="34">
        <v>288000</v>
      </c>
      <c r="G22" s="34">
        <v>144000</v>
      </c>
      <c r="H22" s="34">
        <v>960000</v>
      </c>
      <c r="I22" s="55">
        <f t="shared" si="2"/>
        <v>0</v>
      </c>
      <c r="J22" s="13">
        <v>0.15</v>
      </c>
    </row>
    <row r="23" spans="1:10" x14ac:dyDescent="0.4">
      <c r="A23" s="8" t="s">
        <v>34</v>
      </c>
      <c r="B23" s="3" t="s">
        <v>75</v>
      </c>
      <c r="C23" s="32">
        <v>960000</v>
      </c>
      <c r="D23" s="32"/>
      <c r="E23" s="32">
        <f t="shared" si="1"/>
        <v>960000</v>
      </c>
      <c r="F23" s="32">
        <v>192000</v>
      </c>
      <c r="G23" s="32">
        <v>0</v>
      </c>
      <c r="H23" s="32">
        <v>960000</v>
      </c>
      <c r="I23" s="53">
        <f t="shared" si="2"/>
        <v>0</v>
      </c>
      <c r="J23" s="11">
        <v>0</v>
      </c>
    </row>
    <row r="24" spans="1:10" x14ac:dyDescent="0.4">
      <c r="A24" s="8" t="s">
        <v>35</v>
      </c>
      <c r="B24" s="3" t="s">
        <v>37</v>
      </c>
      <c r="C24" s="32">
        <v>5760000</v>
      </c>
      <c r="D24" s="32">
        <v>145000</v>
      </c>
      <c r="E24" s="32">
        <f t="shared" si="1"/>
        <v>5905000</v>
      </c>
      <c r="F24" s="32">
        <v>5905000</v>
      </c>
      <c r="G24" s="32">
        <v>2962500</v>
      </c>
      <c r="H24" s="32">
        <v>6200000</v>
      </c>
      <c r="I24" s="53">
        <f t="shared" si="2"/>
        <v>-295000</v>
      </c>
      <c r="J24" s="11">
        <v>0.45</v>
      </c>
    </row>
    <row r="25" spans="1:10" x14ac:dyDescent="0.4">
      <c r="A25" s="8" t="s">
        <v>36</v>
      </c>
      <c r="B25" s="3" t="s">
        <v>38</v>
      </c>
      <c r="C25" s="32">
        <v>2240000</v>
      </c>
      <c r="D25" s="32"/>
      <c r="E25" s="32">
        <f t="shared" si="1"/>
        <v>2240000</v>
      </c>
      <c r="F25" s="32">
        <v>0</v>
      </c>
      <c r="G25" s="32">
        <v>0</v>
      </c>
      <c r="H25" s="32">
        <v>1800000</v>
      </c>
      <c r="I25" s="53">
        <f t="shared" si="2"/>
        <v>440000</v>
      </c>
      <c r="J25" s="11">
        <v>0</v>
      </c>
    </row>
    <row r="26" spans="1:10" x14ac:dyDescent="0.4">
      <c r="B26" s="4" t="s">
        <v>39</v>
      </c>
      <c r="C26" s="35">
        <f>SUM(C5,C9,C13,C16,C20,C23,C24,C25)</f>
        <v>32000000</v>
      </c>
      <c r="D26" s="35">
        <f t="shared" ref="D26:H26" si="9">SUM(D5,D9,D13,D16,D20,D23,D24,D25)</f>
        <v>640000</v>
      </c>
      <c r="E26" s="35">
        <f t="shared" si="9"/>
        <v>32640000</v>
      </c>
      <c r="F26" s="35">
        <f t="shared" si="9"/>
        <v>23152000</v>
      </c>
      <c r="G26" s="35">
        <f t="shared" si="9"/>
        <v>14638500</v>
      </c>
      <c r="H26" s="35">
        <f t="shared" si="9"/>
        <v>33610000</v>
      </c>
      <c r="I26" s="56">
        <f>E26-H26</f>
        <v>-970000</v>
      </c>
      <c r="J26" s="14">
        <f>SUMPRODUCT(E5:E25,J5:J25)/SUM(E5:E25)</f>
        <v>0.45094348019581665</v>
      </c>
    </row>
  </sheetData>
  <mergeCells count="2">
    <mergeCell ref="A1:J1"/>
    <mergeCell ref="A2:J2"/>
  </mergeCells>
  <conditionalFormatting sqref="I5:I26">
    <cfRule type="cellIs" dxfId="4" priority="1" operator="greaterThan">
      <formula>0</formula>
    </cfRule>
    <cfRule type="expression" dxfId="3" priority="2">
      <formula>AND(I5&lt;0, I5&gt;=-E5*0.02)</formula>
    </cfRule>
    <cfRule type="cellIs" dxfId="2" priority="3" operator="lessThan">
      <formula>0</formula>
    </cfRule>
  </conditionalFormatting>
  <pageMargins left="0.7" right="0.7" top="0.75" bottom="0.75" header="0.3" footer="0.3"/>
  <ignoredErrors>
    <ignoredError sqref="A5:A25" numberStoredAsText="1"/>
    <ignoredError sqref="C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EEEB-5485-4D53-B51F-28DE04337FA4}">
  <dimension ref="A1:G1048576"/>
  <sheetViews>
    <sheetView workbookViewId="0">
      <selection activeCell="F12" sqref="F12"/>
    </sheetView>
  </sheetViews>
  <sheetFormatPr defaultRowHeight="14.6" x14ac:dyDescent="0.4"/>
  <cols>
    <col min="1" max="1" width="18.69140625" customWidth="1"/>
    <col min="2" max="4" width="22.69140625" customWidth="1"/>
    <col min="5" max="5" width="14.69140625" customWidth="1"/>
    <col min="6" max="6" width="10.69140625" customWidth="1"/>
    <col min="7" max="7" width="16.69140625" customWidth="1"/>
  </cols>
  <sheetData>
    <row r="1" spans="1:7" ht="35.049999999999997" customHeight="1" x14ac:dyDescent="0.4">
      <c r="A1" s="57" t="s">
        <v>52</v>
      </c>
      <c r="B1" s="57"/>
      <c r="C1" s="57"/>
      <c r="D1" s="57"/>
      <c r="E1" s="57"/>
      <c r="F1" s="57"/>
      <c r="G1" s="57"/>
    </row>
    <row r="2" spans="1:7" ht="25" customHeight="1" x14ac:dyDescent="0.4">
      <c r="A2" s="58" t="s">
        <v>40</v>
      </c>
      <c r="B2" s="58"/>
      <c r="C2" s="58"/>
      <c r="D2" s="58"/>
      <c r="E2" s="58"/>
      <c r="F2" s="58"/>
      <c r="G2" s="58"/>
    </row>
    <row r="4" spans="1:7" x14ac:dyDescent="0.4">
      <c r="A4" s="36" t="s">
        <v>41</v>
      </c>
      <c r="B4" s="37" t="s">
        <v>42</v>
      </c>
      <c r="C4" s="37" t="s">
        <v>43</v>
      </c>
      <c r="D4" s="37" t="s">
        <v>44</v>
      </c>
      <c r="E4" s="37" t="s">
        <v>45</v>
      </c>
      <c r="F4" s="37" t="s">
        <v>46</v>
      </c>
      <c r="G4" s="38" t="s">
        <v>47</v>
      </c>
    </row>
    <row r="5" spans="1:7" x14ac:dyDescent="0.4">
      <c r="A5" s="45">
        <v>45170</v>
      </c>
      <c r="B5" s="46">
        <v>480000</v>
      </c>
      <c r="C5" s="46">
        <v>510000</v>
      </c>
      <c r="D5" s="47">
        <f>B5-C5</f>
        <v>-30000</v>
      </c>
      <c r="E5" s="48">
        <f>D5/B5</f>
        <v>-6.25E-2</v>
      </c>
      <c r="F5" s="49">
        <f>B5/C5</f>
        <v>0.94117647058823528</v>
      </c>
      <c r="G5" s="50">
        <f>'Cost Plan'!$E$26/F5</f>
        <v>34680000</v>
      </c>
    </row>
    <row r="6" spans="1:7" x14ac:dyDescent="0.4">
      <c r="A6" s="19">
        <v>45200</v>
      </c>
      <c r="B6" s="20">
        <v>980000</v>
      </c>
      <c r="C6" s="20">
        <v>1050000</v>
      </c>
      <c r="D6" s="24">
        <f t="shared" ref="D6:D10" si="0">B6-C6</f>
        <v>-70000</v>
      </c>
      <c r="E6" s="21">
        <f t="shared" ref="E6:E10" si="1">D6/B6</f>
        <v>-7.1428571428571425E-2</v>
      </c>
      <c r="F6" s="40">
        <f t="shared" ref="F6:F10" si="2">B6/C6</f>
        <v>0.93333333333333335</v>
      </c>
      <c r="G6" s="22">
        <f>'Cost Plan'!$E$26/F6</f>
        <v>34971428.571428567</v>
      </c>
    </row>
    <row r="7" spans="1:7" x14ac:dyDescent="0.4">
      <c r="A7" s="15">
        <v>45231</v>
      </c>
      <c r="B7" s="16">
        <v>1650000</v>
      </c>
      <c r="C7" s="16">
        <v>1780000</v>
      </c>
      <c r="D7" s="23">
        <f t="shared" si="0"/>
        <v>-130000</v>
      </c>
      <c r="E7" s="17">
        <f t="shared" si="1"/>
        <v>-7.8787878787878782E-2</v>
      </c>
      <c r="F7" s="39">
        <f t="shared" si="2"/>
        <v>0.9269662921348315</v>
      </c>
      <c r="G7" s="18">
        <f>'Cost Plan'!$E$26/F7</f>
        <v>35211636.36363636</v>
      </c>
    </row>
    <row r="8" spans="1:7" x14ac:dyDescent="0.4">
      <c r="A8" s="19">
        <v>45261</v>
      </c>
      <c r="B8" s="20">
        <v>2100000</v>
      </c>
      <c r="C8" s="20">
        <v>2280000</v>
      </c>
      <c r="D8" s="24">
        <f t="shared" si="0"/>
        <v>-180000</v>
      </c>
      <c r="E8" s="21">
        <f t="shared" si="1"/>
        <v>-8.5714285714285715E-2</v>
      </c>
      <c r="F8" s="40">
        <f t="shared" si="2"/>
        <v>0.92105263157894735</v>
      </c>
      <c r="G8" s="22">
        <f>'Cost Plan'!$E$26/F8</f>
        <v>35437714.285714284</v>
      </c>
    </row>
    <row r="9" spans="1:7" x14ac:dyDescent="0.4">
      <c r="A9" s="15">
        <v>45292</v>
      </c>
      <c r="B9" s="16">
        <v>2820000</v>
      </c>
      <c r="C9" s="16">
        <v>3050000</v>
      </c>
      <c r="D9" s="23">
        <f t="shared" si="0"/>
        <v>-230000</v>
      </c>
      <c r="E9" s="17">
        <f t="shared" si="1"/>
        <v>-8.1560283687943269E-2</v>
      </c>
      <c r="F9" s="39">
        <f t="shared" si="2"/>
        <v>0.92459016393442628</v>
      </c>
      <c r="G9" s="18">
        <f>'Cost Plan'!$E$26/F9</f>
        <v>35302127.659574464</v>
      </c>
    </row>
    <row r="10" spans="1:7" x14ac:dyDescent="0.4">
      <c r="A10" s="19">
        <v>45323</v>
      </c>
      <c r="B10" s="20">
        <v>3680000</v>
      </c>
      <c r="C10" s="20">
        <v>3980000</v>
      </c>
      <c r="D10" s="24">
        <f t="shared" si="0"/>
        <v>-300000</v>
      </c>
      <c r="E10" s="21">
        <f t="shared" si="1"/>
        <v>-8.1521739130434784E-2</v>
      </c>
      <c r="F10" s="40">
        <f t="shared" si="2"/>
        <v>0.92462311557788945</v>
      </c>
      <c r="G10" s="22">
        <f>'Cost Plan'!$E$26/F10</f>
        <v>35300869.565217391</v>
      </c>
    </row>
    <row r="11" spans="1:7" x14ac:dyDescent="0.4">
      <c r="A11" s="15">
        <v>45352</v>
      </c>
      <c r="B11" s="16">
        <v>4950000</v>
      </c>
      <c r="C11" s="16">
        <v>5280000</v>
      </c>
      <c r="D11" s="23">
        <f t="shared" ref="D11:D23" si="3">B11-C11</f>
        <v>-330000</v>
      </c>
      <c r="E11" s="17">
        <f t="shared" ref="E11:E23" si="4">D11/B11</f>
        <v>-6.6666666666666666E-2</v>
      </c>
      <c r="F11" s="39">
        <f t="shared" ref="F11:F23" si="5">B11/C11</f>
        <v>0.9375</v>
      </c>
      <c r="G11" s="18">
        <f>'Cost Plan'!$E$26/F11</f>
        <v>34816000</v>
      </c>
    </row>
    <row r="12" spans="1:7" x14ac:dyDescent="0.4">
      <c r="A12" s="19">
        <v>45383</v>
      </c>
      <c r="B12" s="20">
        <v>6240000</v>
      </c>
      <c r="C12" s="20">
        <v>6620000</v>
      </c>
      <c r="D12" s="24">
        <f t="shared" si="3"/>
        <v>-380000</v>
      </c>
      <c r="E12" s="21">
        <f t="shared" si="4"/>
        <v>-6.0897435897435896E-2</v>
      </c>
      <c r="F12" s="40">
        <f t="shared" si="5"/>
        <v>0.94259818731117828</v>
      </c>
      <c r="G12" s="22">
        <f>'Cost Plan'!$E$26/F12</f>
        <v>34627692.307692304</v>
      </c>
    </row>
    <row r="13" spans="1:7" x14ac:dyDescent="0.4">
      <c r="A13" s="15">
        <v>45413</v>
      </c>
      <c r="B13" s="16">
        <v>7680000</v>
      </c>
      <c r="C13" s="16">
        <v>8100000</v>
      </c>
      <c r="D13" s="23">
        <f t="shared" si="3"/>
        <v>-420000</v>
      </c>
      <c r="E13" s="17">
        <f t="shared" si="4"/>
        <v>-5.46875E-2</v>
      </c>
      <c r="F13" s="39">
        <f t="shared" si="5"/>
        <v>0.94814814814814818</v>
      </c>
      <c r="G13" s="18">
        <f>'Cost Plan'!$E$26/F13</f>
        <v>34425000</v>
      </c>
    </row>
    <row r="14" spans="1:7" x14ac:dyDescent="0.4">
      <c r="A14" s="19">
        <v>45444</v>
      </c>
      <c r="B14" s="20">
        <v>9120000</v>
      </c>
      <c r="C14" s="20">
        <v>9650000</v>
      </c>
      <c r="D14" s="24">
        <f t="shared" si="3"/>
        <v>-530000</v>
      </c>
      <c r="E14" s="21">
        <f t="shared" si="4"/>
        <v>-5.8114035087719298E-2</v>
      </c>
      <c r="F14" s="40">
        <f t="shared" si="5"/>
        <v>0.94507772020725389</v>
      </c>
      <c r="G14" s="22">
        <f>'Cost Plan'!$E$26/F14</f>
        <v>34536842.105263159</v>
      </c>
    </row>
    <row r="15" spans="1:7" x14ac:dyDescent="0.4">
      <c r="A15" s="15">
        <v>45474</v>
      </c>
      <c r="B15" s="16">
        <v>10560000</v>
      </c>
      <c r="C15" s="16">
        <v>11150000</v>
      </c>
      <c r="D15" s="23">
        <f t="shared" si="3"/>
        <v>-590000</v>
      </c>
      <c r="E15" s="17">
        <f t="shared" si="4"/>
        <v>-5.587121212121212E-2</v>
      </c>
      <c r="F15" s="39">
        <f t="shared" si="5"/>
        <v>0.94708520179372202</v>
      </c>
      <c r="G15" s="18">
        <f>'Cost Plan'!$E$26/F15</f>
        <v>34463636.36363636</v>
      </c>
    </row>
    <row r="16" spans="1:7" x14ac:dyDescent="0.4">
      <c r="A16" s="19">
        <v>45505</v>
      </c>
      <c r="B16" s="20">
        <v>11800000</v>
      </c>
      <c r="C16" s="20">
        <v>12450000</v>
      </c>
      <c r="D16" s="24">
        <f t="shared" si="3"/>
        <v>-650000</v>
      </c>
      <c r="E16" s="21">
        <f t="shared" si="4"/>
        <v>-5.5084745762711863E-2</v>
      </c>
      <c r="F16" s="40">
        <f t="shared" si="5"/>
        <v>0.94779116465863456</v>
      </c>
      <c r="G16" s="22">
        <f>'Cost Plan'!$E$26/F16</f>
        <v>34437966.101694912</v>
      </c>
    </row>
    <row r="17" spans="1:7" x14ac:dyDescent="0.4">
      <c r="A17" s="15">
        <v>45536</v>
      </c>
      <c r="B17" s="16">
        <v>12950000</v>
      </c>
      <c r="C17" s="16">
        <v>13650000</v>
      </c>
      <c r="D17" s="23">
        <f t="shared" si="3"/>
        <v>-700000</v>
      </c>
      <c r="E17" s="17">
        <f t="shared" si="4"/>
        <v>-5.4054054054054057E-2</v>
      </c>
      <c r="F17" s="39">
        <f t="shared" si="5"/>
        <v>0.94871794871794868</v>
      </c>
      <c r="G17" s="18">
        <f>'Cost Plan'!$E$26/F17</f>
        <v>34404324.324324325</v>
      </c>
    </row>
    <row r="18" spans="1:7" x14ac:dyDescent="0.4">
      <c r="A18" s="19">
        <v>45566</v>
      </c>
      <c r="B18" s="20">
        <v>13920000</v>
      </c>
      <c r="C18" s="20">
        <v>14650000</v>
      </c>
      <c r="D18" s="24">
        <f t="shared" si="3"/>
        <v>-730000</v>
      </c>
      <c r="E18" s="21">
        <f t="shared" si="4"/>
        <v>-5.2442528735632182E-2</v>
      </c>
      <c r="F18" s="40">
        <f t="shared" si="5"/>
        <v>0.95017064846416377</v>
      </c>
      <c r="G18" s="22">
        <f>'Cost Plan'!$E$26/F18</f>
        <v>34351724.137931034</v>
      </c>
    </row>
    <row r="19" spans="1:7" x14ac:dyDescent="0.4">
      <c r="A19" s="15">
        <v>45597</v>
      </c>
      <c r="B19" s="16">
        <v>14650000</v>
      </c>
      <c r="C19" s="16">
        <v>15420000</v>
      </c>
      <c r="D19" s="23">
        <f t="shared" si="3"/>
        <v>-770000</v>
      </c>
      <c r="E19" s="17">
        <f t="shared" si="4"/>
        <v>-5.2559726962457337E-2</v>
      </c>
      <c r="F19" s="39">
        <f t="shared" si="5"/>
        <v>0.95006485084306092</v>
      </c>
      <c r="G19" s="18">
        <f>'Cost Plan'!$E$26/F19</f>
        <v>34355549.488054611</v>
      </c>
    </row>
    <row r="20" spans="1:7" x14ac:dyDescent="0.4">
      <c r="A20" s="19">
        <v>45627</v>
      </c>
      <c r="B20" s="20">
        <v>15280000</v>
      </c>
      <c r="C20" s="20">
        <v>16080000</v>
      </c>
      <c r="D20" s="24">
        <f t="shared" si="3"/>
        <v>-800000</v>
      </c>
      <c r="E20" s="21">
        <f t="shared" si="4"/>
        <v>-5.2356020942408377E-2</v>
      </c>
      <c r="F20" s="40">
        <f t="shared" si="5"/>
        <v>0.95024875621890548</v>
      </c>
      <c r="G20" s="22">
        <f>'Cost Plan'!$E$26/F20</f>
        <v>34348900.523560211</v>
      </c>
    </row>
    <row r="21" spans="1:7" x14ac:dyDescent="0.4">
      <c r="A21" s="15">
        <v>45658</v>
      </c>
      <c r="B21" s="16">
        <v>15820000</v>
      </c>
      <c r="C21" s="16">
        <v>16650000</v>
      </c>
      <c r="D21" s="23">
        <f t="shared" si="3"/>
        <v>-830000</v>
      </c>
      <c r="E21" s="17">
        <f t="shared" si="4"/>
        <v>-5.2465233881163087E-2</v>
      </c>
      <c r="F21" s="39">
        <f t="shared" si="5"/>
        <v>0.95015015015015014</v>
      </c>
      <c r="G21" s="18">
        <f>'Cost Plan'!$E$26/F21</f>
        <v>34352465.233881161</v>
      </c>
    </row>
    <row r="22" spans="1:7" x14ac:dyDescent="0.4">
      <c r="A22" s="19">
        <v>45689</v>
      </c>
      <c r="B22" s="20">
        <v>16250000</v>
      </c>
      <c r="C22" s="20">
        <v>17100000</v>
      </c>
      <c r="D22" s="24">
        <f t="shared" si="3"/>
        <v>-850000</v>
      </c>
      <c r="E22" s="21">
        <f t="shared" si="4"/>
        <v>-5.2307692307692305E-2</v>
      </c>
      <c r="F22" s="40">
        <f t="shared" si="5"/>
        <v>0.95029239766081874</v>
      </c>
      <c r="G22" s="22">
        <f>'Cost Plan'!$E$26/F22</f>
        <v>34347323.076923072</v>
      </c>
    </row>
    <row r="23" spans="1:7" x14ac:dyDescent="0.4">
      <c r="A23" s="51">
        <v>45717</v>
      </c>
      <c r="B23" s="41">
        <v>16640000</v>
      </c>
      <c r="C23" s="41">
        <v>17610000</v>
      </c>
      <c r="D23" s="42">
        <f t="shared" si="3"/>
        <v>-970000</v>
      </c>
      <c r="E23" s="43">
        <f t="shared" si="4"/>
        <v>-5.8293269230769232E-2</v>
      </c>
      <c r="F23" s="44">
        <f t="shared" si="5"/>
        <v>0.94491766042021574</v>
      </c>
      <c r="G23" s="52">
        <f>'Cost Plan'!$E$26/F23</f>
        <v>34542692.307692312</v>
      </c>
    </row>
    <row r="1048576" spans="2:3" x14ac:dyDescent="0.4">
      <c r="B1048576">
        <f>SUM(B1:B1048575)</f>
        <v>167570000</v>
      </c>
      <c r="C1048576">
        <f>SUM(C1:C1048575)</f>
        <v>177060000</v>
      </c>
    </row>
  </sheetData>
  <mergeCells count="2">
    <mergeCell ref="A1:G1"/>
    <mergeCell ref="A2:G2"/>
  </mergeCells>
  <conditionalFormatting sqref="D5:D23">
    <cfRule type="expression" dxfId="1" priority="1">
      <formula>D5&gt;0</formula>
    </cfRule>
    <cfRule type="expression" dxfId="0" priority="2">
      <formula>D5&lt;0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73FC-2423-441D-B32D-DF5AF30B74F5}">
  <dimension ref="A1:B10"/>
  <sheetViews>
    <sheetView workbookViewId="0">
      <selection activeCell="B4" sqref="B4"/>
    </sheetView>
  </sheetViews>
  <sheetFormatPr defaultRowHeight="14.6" x14ac:dyDescent="0.4"/>
  <cols>
    <col min="1" max="1" width="25.69140625" bestFit="1" customWidth="1"/>
    <col min="2" max="2" width="37.07421875" bestFit="1" customWidth="1"/>
  </cols>
  <sheetData>
    <row r="1" spans="1:2" x14ac:dyDescent="0.4">
      <c r="A1" s="25" t="s">
        <v>0</v>
      </c>
      <c r="B1" s="27" t="s">
        <v>48</v>
      </c>
    </row>
    <row r="2" spans="1:2" x14ac:dyDescent="0.4">
      <c r="A2" s="26" t="s">
        <v>1</v>
      </c>
      <c r="B2" s="28" t="s">
        <v>49</v>
      </c>
    </row>
    <row r="3" spans="1:2" x14ac:dyDescent="0.4">
      <c r="A3" s="25" t="s">
        <v>2</v>
      </c>
      <c r="B3" s="27" t="s">
        <v>50</v>
      </c>
    </row>
    <row r="4" spans="1:2" x14ac:dyDescent="0.4">
      <c r="A4" s="26" t="s">
        <v>3</v>
      </c>
      <c r="B4" s="59">
        <v>32000000</v>
      </c>
    </row>
    <row r="5" spans="1:2" x14ac:dyDescent="0.4">
      <c r="A5" s="25" t="s">
        <v>4</v>
      </c>
      <c r="B5" s="29">
        <v>45170</v>
      </c>
    </row>
    <row r="6" spans="1:2" x14ac:dyDescent="0.4">
      <c r="A6" s="26" t="s">
        <v>5</v>
      </c>
      <c r="B6" s="30">
        <v>46081</v>
      </c>
    </row>
    <row r="7" spans="1:2" x14ac:dyDescent="0.4">
      <c r="A7" s="25" t="s">
        <v>6</v>
      </c>
      <c r="B7" s="27" t="s">
        <v>10</v>
      </c>
    </row>
    <row r="8" spans="1:2" x14ac:dyDescent="0.4">
      <c r="A8" s="26" t="s">
        <v>7</v>
      </c>
      <c r="B8" s="28" t="s">
        <v>8</v>
      </c>
    </row>
    <row r="9" spans="1:2" x14ac:dyDescent="0.4">
      <c r="A9" s="25" t="s">
        <v>9</v>
      </c>
      <c r="B9" s="31">
        <f>'Cost Plan'!J26</f>
        <v>0.45094348019581665</v>
      </c>
    </row>
    <row r="10" spans="1:2" x14ac:dyDescent="0.4">
      <c r="A10" s="26" t="s">
        <v>76</v>
      </c>
      <c r="B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Plan</vt:lpstr>
      <vt:lpstr>CVR</vt:lpstr>
      <vt:lpstr>Project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Tonmoy</dc:creator>
  <cp:lastModifiedBy>R Tonmoy</cp:lastModifiedBy>
  <dcterms:created xsi:type="dcterms:W3CDTF">2026-05-07T14:10:09Z</dcterms:created>
  <dcterms:modified xsi:type="dcterms:W3CDTF">2026-05-16T06:48:56Z</dcterms:modified>
</cp:coreProperties>
</file>