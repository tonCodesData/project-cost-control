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qs\project-cost-control\cost-plans\"/>
    </mc:Choice>
  </mc:AlternateContent>
  <xr:revisionPtr revIDLastSave="0" documentId="13_ncr:1_{0438F16F-0499-4AC8-8783-558824BABBD8}" xr6:coauthVersionLast="47" xr6:coauthVersionMax="47" xr10:uidLastSave="{00000000-0000-0000-0000-000000000000}"/>
  <bookViews>
    <workbookView xWindow="-103" yWindow="-103" windowWidth="24892" windowHeight="14092" activeTab="2" xr2:uid="{0C8C6BE1-598D-4333-9AA5-A074653745B1}"/>
  </bookViews>
  <sheets>
    <sheet name="Cost Plan" sheetId="1" r:id="rId1"/>
    <sheet name="CVR" sheetId="2" r:id="rId2"/>
    <sheet name="Project Inf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9" i="3" l="1"/>
  <c r="J24" i="1"/>
  <c r="J18" i="1" l="1"/>
  <c r="J13" i="1"/>
  <c r="E19" i="1"/>
  <c r="E18" i="1"/>
  <c r="E15" i="1"/>
  <c r="E16" i="1"/>
  <c r="E12" i="1"/>
  <c r="D18" i="1"/>
  <c r="F18" i="1"/>
  <c r="G18" i="1"/>
  <c r="H18" i="1"/>
  <c r="D13" i="1"/>
  <c r="D8" i="1"/>
  <c r="H5" i="1"/>
  <c r="D5" i="1"/>
  <c r="F5" i="1"/>
  <c r="G5" i="1"/>
  <c r="E6" i="1"/>
  <c r="E5" i="1" s="1"/>
  <c r="E7" i="1"/>
  <c r="E9" i="1"/>
  <c r="E10" i="1"/>
  <c r="E11" i="1"/>
  <c r="E14" i="1"/>
  <c r="E17" i="1"/>
  <c r="E20" i="1"/>
  <c r="E21" i="1"/>
  <c r="E22" i="1"/>
  <c r="E23" i="1"/>
  <c r="C18" i="1"/>
  <c r="C13" i="1"/>
  <c r="C8" i="1"/>
  <c r="C5" i="1"/>
  <c r="C24" i="1"/>
  <c r="D24" i="1" l="1"/>
  <c r="H13" i="1"/>
  <c r="H8" i="1" s="1"/>
  <c r="H24" i="1" s="1"/>
  <c r="I5" i="1"/>
  <c r="F13" i="1" l="1"/>
  <c r="F8" i="1" s="1"/>
  <c r="F24" i="1" s="1"/>
  <c r="G13" i="1"/>
  <c r="G8" i="1" s="1"/>
  <c r="G24" i="1" s="1"/>
  <c r="E13" i="1"/>
  <c r="E8" i="1" s="1"/>
  <c r="E24" i="1" s="1"/>
  <c r="J5" i="1"/>
  <c r="D11" i="2"/>
  <c r="E11" i="2" s="1"/>
  <c r="F11" i="2"/>
  <c r="I22" i="1"/>
  <c r="I8" i="1" l="1"/>
  <c r="D5" i="2"/>
  <c r="E5" i="2" s="1"/>
  <c r="F5" i="2"/>
  <c r="D6" i="2"/>
  <c r="E6" i="2"/>
  <c r="F6" i="2"/>
  <c r="D7" i="2"/>
  <c r="E7" i="2" s="1"/>
  <c r="F7" i="2"/>
  <c r="D8" i="2"/>
  <c r="E8" i="2" s="1"/>
  <c r="F8" i="2"/>
  <c r="D9" i="2"/>
  <c r="E9" i="2" s="1"/>
  <c r="F9" i="2"/>
  <c r="D10" i="2"/>
  <c r="E10" i="2" s="1"/>
  <c r="F10" i="2"/>
  <c r="I7" i="1"/>
  <c r="I11" i="1"/>
  <c r="I15" i="1"/>
  <c r="I18" i="1"/>
  <c r="A2" i="1"/>
  <c r="B1048574" i="2"/>
  <c r="C1048574" i="2"/>
  <c r="I17" i="1" l="1"/>
  <c r="I14" i="1"/>
  <c r="I10" i="1"/>
  <c r="I6" i="1"/>
  <c r="I16" i="1"/>
  <c r="I13" i="1" l="1"/>
  <c r="I12" i="1" l="1"/>
  <c r="J8" i="1" l="1"/>
  <c r="I9" i="1"/>
  <c r="I23" i="1" l="1"/>
  <c r="G5" i="2" l="1"/>
  <c r="I19" i="1"/>
  <c r="G7" i="2"/>
  <c r="G8" i="2"/>
  <c r="G9" i="2"/>
  <c r="G10" i="2"/>
  <c r="G11" i="2"/>
  <c r="I21" i="1"/>
  <c r="I24" i="1" s="1"/>
  <c r="I20" i="1"/>
  <c r="G6" i="2" l="1"/>
</calcChain>
</file>

<file path=xl/sharedStrings.xml><?xml version="1.0" encoding="utf-8"?>
<sst xmlns="http://schemas.openxmlformats.org/spreadsheetml/2006/main" count="75" uniqueCount="74">
  <si>
    <t>Project Name</t>
  </si>
  <si>
    <t>Client</t>
  </si>
  <si>
    <t>Contract Type</t>
  </si>
  <si>
    <t>Project Value</t>
  </si>
  <si>
    <t>Start Date</t>
  </si>
  <si>
    <t>Completion Date</t>
  </si>
  <si>
    <t>Project Manager</t>
  </si>
  <si>
    <t>Status</t>
  </si>
  <si>
    <t>% Complete</t>
  </si>
  <si>
    <t>Meridian Cost Consultants</t>
  </si>
  <si>
    <t>Element Ref</t>
  </si>
  <si>
    <t>Element Description</t>
  </si>
  <si>
    <t>Budget (£)</t>
  </si>
  <si>
    <t>Authorised Changes (£)</t>
  </si>
  <si>
    <t>Revised Budget (£)</t>
  </si>
  <si>
    <t>Committed (£)</t>
  </si>
  <si>
    <t>Actual to Date (£)</t>
  </si>
  <si>
    <t>Forecast Final Cost (£)</t>
  </si>
  <si>
    <t>Variance (£)</t>
  </si>
  <si>
    <t>1.0</t>
  </si>
  <si>
    <t>1.1</t>
  </si>
  <si>
    <t>1.2</t>
  </si>
  <si>
    <t>2.0</t>
  </si>
  <si>
    <t>2.1</t>
  </si>
  <si>
    <t>2.2</t>
  </si>
  <si>
    <t>2.3</t>
  </si>
  <si>
    <t>3.0</t>
  </si>
  <si>
    <t>3.1</t>
  </si>
  <si>
    <t>3.2</t>
  </si>
  <si>
    <t>4.0</t>
  </si>
  <si>
    <t>5.0</t>
  </si>
  <si>
    <t>5.1</t>
  </si>
  <si>
    <t>5.2</t>
  </si>
  <si>
    <t>6.0</t>
  </si>
  <si>
    <t>7.0</t>
  </si>
  <si>
    <t>8.0</t>
  </si>
  <si>
    <t>Preliminaries</t>
  </si>
  <si>
    <t>Contingency</t>
  </si>
  <si>
    <t>Total Project Cost</t>
  </si>
  <si>
    <t>Month</t>
  </si>
  <si>
    <t>Cumulative Value (£)</t>
  </si>
  <si>
    <t>Cumulative Cost (£)</t>
  </si>
  <si>
    <t>Gross Margin (£)</t>
  </si>
  <si>
    <t>Margin %</t>
  </si>
  <si>
    <t>CPI</t>
  </si>
  <si>
    <t>EAC</t>
  </si>
  <si>
    <t>JCT Intermediate Building Contract 2016</t>
  </si>
  <si>
    <t>3.3</t>
  </si>
  <si>
    <t>Fittings &amp; Furnishings</t>
  </si>
  <si>
    <t>Building Services</t>
  </si>
  <si>
    <t>Mechanical &amp; HVAC</t>
  </si>
  <si>
    <t>Meridian Cost Consultants | Reporting Period: March 2026</t>
  </si>
  <si>
    <t>Primary School Expansion</t>
  </si>
  <si>
    <t>Cheshire West and Chester Council</t>
  </si>
  <si>
    <t>Complete</t>
  </si>
  <si>
    <t>Primary School Expansion — Elemental Cost Plan</t>
  </si>
  <si>
    <t>2.4</t>
  </si>
  <si>
    <t>Substructure</t>
  </si>
  <si>
    <t>Foundations</t>
  </si>
  <si>
    <t>Ground Floor Slab</t>
  </si>
  <si>
    <t>Superstructure</t>
  </si>
  <si>
    <t>Frame &amp; Upper Floors</t>
  </si>
  <si>
    <t>Roof</t>
  </si>
  <si>
    <t>External Walls &amp; Windows</t>
  </si>
  <si>
    <t>Internal Walls &amp; Doors</t>
  </si>
  <si>
    <t>Internal Finishes</t>
  </si>
  <si>
    <t>Wall Finishes</t>
  </si>
  <si>
    <t>Floor Finishes</t>
  </si>
  <si>
    <t>Ceiling Finishes</t>
  </si>
  <si>
    <t>Electrical &amp; Lighting</t>
  </si>
  <si>
    <t>External Works &amp; Playground</t>
  </si>
  <si>
    <t>Primary School Expansion — Cost Value Reconciliation</t>
  </si>
  <si>
    <t>Sector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</si>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</sst>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&quot;£&quot;#,##0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1F3864"/>
        <bgColor indexed="64"/>
      </patternFill>
    </fill>
    <fill>
      <patternFill patternType="solid">
        <fgColor rgb="FF2E549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53">
    <xf numFmtId="0" fontId="0" fillId="0" borderId="0" xfId="0"/>
    <xf numFmtId="0" fontId="1" fillId="3" borderId="0" xfId="1" applyFont="1" applyFill="1" applyAlignment="1">
      <alignment horizontal="center"/>
    </xf>
    <xf numFmtId="49" fontId="0" fillId="0" borderId="0" xfId="0" applyNumberFormat="1"/>
    <xf numFmtId="0" fontId="2" fillId="4" borderId="0" xfId="0" applyFont="1" applyFill="1"/>
    <xf numFmtId="0" fontId="2" fillId="3" borderId="0" xfId="0" applyFont="1" applyFill="1"/>
    <xf numFmtId="0" fontId="0" fillId="5" borderId="0" xfId="0" applyFill="1"/>
    <xf numFmtId="0" fontId="0" fillId="6" borderId="0" xfId="0" applyFill="1"/>
    <xf numFmtId="49" fontId="1" fillId="3" borderId="0" xfId="1" applyNumberFormat="1" applyFont="1" applyFill="1" applyAlignment="1">
      <alignment horizontal="left"/>
    </xf>
    <xf numFmtId="49" fontId="2" fillId="4" borderId="0" xfId="0" applyNumberFormat="1" applyFont="1" applyFill="1" applyAlignment="1">
      <alignment horizontal="left"/>
    </xf>
    <xf numFmtId="49" fontId="0" fillId="5" borderId="0" xfId="0" applyNumberFormat="1" applyFill="1" applyAlignment="1">
      <alignment horizontal="left"/>
    </xf>
    <xf numFmtId="49" fontId="0" fillId="6" borderId="0" xfId="0" applyNumberFormat="1" applyFill="1" applyAlignment="1">
      <alignment horizontal="left"/>
    </xf>
    <xf numFmtId="9" fontId="2" fillId="4" borderId="0" xfId="2" applyFont="1" applyFill="1"/>
    <xf numFmtId="9" fontId="0" fillId="5" borderId="0" xfId="2" applyFont="1" applyFill="1"/>
    <xf numFmtId="9" fontId="0" fillId="6" borderId="0" xfId="2" applyFont="1" applyFill="1"/>
    <xf numFmtId="9" fontId="2" fillId="3" borderId="0" xfId="2" applyFont="1" applyFill="1"/>
    <xf numFmtId="17" fontId="0" fillId="5" borderId="1" xfId="0" applyNumberFormat="1" applyFill="1" applyBorder="1"/>
    <xf numFmtId="165" fontId="0" fillId="5" borderId="0" xfId="3" applyNumberFormat="1" applyFont="1" applyFill="1" applyBorder="1"/>
    <xf numFmtId="164" fontId="0" fillId="5" borderId="0" xfId="2" applyNumberFormat="1" applyFont="1" applyFill="1" applyBorder="1"/>
    <xf numFmtId="165" fontId="0" fillId="5" borderId="2" xfId="3" applyNumberFormat="1" applyFont="1" applyFill="1" applyBorder="1"/>
    <xf numFmtId="17" fontId="0" fillId="0" borderId="1" xfId="0" applyNumberFormat="1" applyBorder="1"/>
    <xf numFmtId="165" fontId="0" fillId="0" borderId="0" xfId="3" applyNumberFormat="1" applyFont="1" applyBorder="1"/>
    <xf numFmtId="164" fontId="0" fillId="0" borderId="0" xfId="2" applyNumberFormat="1" applyFont="1" applyBorder="1"/>
    <xf numFmtId="165" fontId="0" fillId="0" borderId="2" xfId="3" applyNumberFormat="1" applyFont="1" applyBorder="1"/>
    <xf numFmtId="38" fontId="0" fillId="5" borderId="0" xfId="3" applyNumberFormat="1" applyFont="1" applyFill="1" applyBorder="1"/>
    <xf numFmtId="38" fontId="0" fillId="0" borderId="0" xfId="3" applyNumberFormat="1" applyFont="1" applyBorder="1"/>
    <xf numFmtId="0" fontId="6" fillId="5" borderId="2" xfId="0" applyFont="1" applyFill="1" applyBorder="1"/>
    <xf numFmtId="0" fontId="6" fillId="6" borderId="2" xfId="0" applyFont="1" applyFill="1" applyBorder="1"/>
    <xf numFmtId="0" fontId="6" fillId="5" borderId="0" xfId="0" applyFont="1" applyFill="1" applyAlignment="1">
      <alignment horizontal="left"/>
    </xf>
    <xf numFmtId="0" fontId="6" fillId="6" borderId="0" xfId="0" applyFont="1" applyFill="1" applyAlignment="1">
      <alignment horizontal="left"/>
    </xf>
    <xf numFmtId="166" fontId="6" fillId="6" borderId="0" xfId="0" applyNumberFormat="1" applyFont="1" applyFill="1" applyAlignment="1">
      <alignment horizontal="left"/>
    </xf>
    <xf numFmtId="14" fontId="6" fillId="5" borderId="0" xfId="0" applyNumberFormat="1" applyFont="1" applyFill="1" applyAlignment="1">
      <alignment horizontal="left"/>
    </xf>
    <xf numFmtId="14" fontId="6" fillId="6" borderId="0" xfId="0" applyNumberFormat="1" applyFont="1" applyFill="1" applyAlignment="1">
      <alignment horizontal="left"/>
    </xf>
    <xf numFmtId="9" fontId="6" fillId="5" borderId="0" xfId="0" applyNumberFormat="1" applyFont="1" applyFill="1" applyAlignment="1">
      <alignment horizontal="left"/>
    </xf>
    <xf numFmtId="165" fontId="2" fillId="4" borderId="0" xfId="3" applyNumberFormat="1" applyFont="1" applyFill="1"/>
    <xf numFmtId="165" fontId="0" fillId="5" borderId="0" xfId="3" applyNumberFormat="1" applyFont="1" applyFill="1"/>
    <xf numFmtId="165" fontId="0" fillId="6" borderId="0" xfId="3" applyNumberFormat="1" applyFont="1" applyFill="1"/>
    <xf numFmtId="165" fontId="2" fillId="3" borderId="0" xfId="3" applyNumberFormat="1" applyFont="1" applyFill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2" fontId="0" fillId="5" borderId="0" xfId="0" applyNumberFormat="1" applyFill="1"/>
    <xf numFmtId="2" fontId="0" fillId="0" borderId="0" xfId="0" applyNumberFormat="1"/>
    <xf numFmtId="17" fontId="0" fillId="5" borderId="3" xfId="0" applyNumberFormat="1" applyFill="1" applyBorder="1"/>
    <xf numFmtId="165" fontId="0" fillId="5" borderId="4" xfId="3" applyNumberFormat="1" applyFont="1" applyFill="1" applyBorder="1"/>
    <xf numFmtId="38" fontId="0" fillId="5" borderId="4" xfId="3" applyNumberFormat="1" applyFont="1" applyFill="1" applyBorder="1"/>
    <xf numFmtId="164" fontId="0" fillId="5" borderId="4" xfId="2" applyNumberFormat="1" applyFont="1" applyFill="1" applyBorder="1"/>
    <xf numFmtId="2" fontId="0" fillId="5" borderId="4" xfId="0" applyNumberFormat="1" applyFill="1" applyBorder="1"/>
    <xf numFmtId="165" fontId="0" fillId="5" borderId="5" xfId="3" applyNumberFormat="1" applyFont="1" applyFill="1" applyBorder="1"/>
    <xf numFmtId="37" fontId="1" fillId="4" borderId="0" xfId="3" applyNumberFormat="1" applyFont="1" applyFill="1"/>
    <xf numFmtId="37" fontId="4" fillId="5" borderId="0" xfId="3" applyNumberFormat="1" applyFont="1" applyFill="1"/>
    <xf numFmtId="37" fontId="4" fillId="6" borderId="0" xfId="3" applyNumberFormat="1" applyFont="1" applyFill="1"/>
    <xf numFmtId="0" fontId="5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4">
    <cellStyle name="Accent1" xfId="1" builtinId="29"/>
    <cellStyle name="Comma" xfId="3" builtinId="3"/>
    <cellStyle name="Normal" xfId="0" builtinId="0"/>
    <cellStyle name="Per cent" xfId="2" builtinId="5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70AD47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70AD47"/>
        </patternFill>
      </fill>
    </dxf>
  </dxfs>
  <tableStyles count="0" defaultTableStyle="TableStyleMedium2" defaultPivotStyle="PivotStyleLight16"/>
  <colors>
    <mruColors>
      <color rgb="FFD9D9D9"/>
      <color rgb="FF2E5496"/>
      <color rgb="FF1F3864"/>
      <color rgb="FF70AD47"/>
      <color rgb="FFFF0000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Cumulative Value vs Cost — Primary School Expansion</a:t>
            </a:r>
          </a:p>
        </c:rich>
      </c:tx>
      <c:layout>
        <c:manualLayout>
          <c:xMode val="edge"/>
          <c:yMode val="edge"/>
          <c:x val="0.24934299067084914"/>
          <c:y val="2.7593002132211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CVR!$B$4</c:f>
              <c:strCache>
                <c:ptCount val="1"/>
                <c:pt idx="0">
                  <c:v>Cumulative Value (£)</c:v>
                </c:pt>
              </c:strCache>
            </c:strRef>
          </c:tx>
          <c:spPr>
            <a:ln w="28575" cap="rnd">
              <a:solidFill>
                <a:srgbClr val="1F386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1F3864"/>
                </a:solidFill>
              </a:ln>
              <a:effectLst/>
            </c:spPr>
          </c:marker>
          <c:cat>
            <c:numRef>
              <c:f>CVR!$A$5:$A$11</c:f>
              <c:numCache>
                <c:formatCode>mmm\-yy</c:formatCode>
                <c:ptCount val="7"/>
                <c:pt idx="0">
                  <c:v>45901</c:v>
                </c:pt>
                <c:pt idx="1">
                  <c:v>45931</c:v>
                </c:pt>
                <c:pt idx="2">
                  <c:v>45962</c:v>
                </c:pt>
                <c:pt idx="3">
                  <c:v>45992</c:v>
                </c:pt>
                <c:pt idx="4">
                  <c:v>46023</c:v>
                </c:pt>
                <c:pt idx="5">
                  <c:v>46054</c:v>
                </c:pt>
                <c:pt idx="6">
                  <c:v>46082</c:v>
                </c:pt>
              </c:numCache>
            </c:numRef>
          </c:cat>
          <c:val>
            <c:numRef>
              <c:f>CVR!$B$5:$B$11</c:f>
              <c:numCache>
                <c:formatCode>_-* #,##0_-;\-* #,##0_-;_-* "-"??_-;_-@_-</c:formatCode>
                <c:ptCount val="7"/>
                <c:pt idx="0">
                  <c:v>620000</c:v>
                </c:pt>
                <c:pt idx="1">
                  <c:v>1250000</c:v>
                </c:pt>
                <c:pt idx="2">
                  <c:v>1980000</c:v>
                </c:pt>
                <c:pt idx="3">
                  <c:v>2720000</c:v>
                </c:pt>
                <c:pt idx="4">
                  <c:v>3380000</c:v>
                </c:pt>
                <c:pt idx="5">
                  <c:v>3850000</c:v>
                </c:pt>
                <c:pt idx="6">
                  <c:v>4110000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67-424D-8F78-650AFDB2B1C9}"/>
            </c:ext>
          </c:extLst>
        </c:ser>
        <c:ser>
          <c:idx val="1"/>
          <c:order val="1"/>
          <c:tx>
            <c:strRef>
              <c:f>CVR!$C$4</c:f>
              <c:strCache>
                <c:ptCount val="1"/>
                <c:pt idx="0">
                  <c:v>Cumulative Cost (£)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CVR!$A$5:$A$11</c:f>
              <c:numCache>
                <c:formatCode>mmm\-yy</c:formatCode>
                <c:ptCount val="7"/>
                <c:pt idx="0">
                  <c:v>45901</c:v>
                </c:pt>
                <c:pt idx="1">
                  <c:v>45931</c:v>
                </c:pt>
                <c:pt idx="2">
                  <c:v>45962</c:v>
                </c:pt>
                <c:pt idx="3">
                  <c:v>45992</c:v>
                </c:pt>
                <c:pt idx="4">
                  <c:v>46023</c:v>
                </c:pt>
                <c:pt idx="5">
                  <c:v>46054</c:v>
                </c:pt>
                <c:pt idx="6">
                  <c:v>46082</c:v>
                </c:pt>
              </c:numCache>
            </c:numRef>
          </c:cat>
          <c:val>
            <c:numRef>
              <c:f>CVR!$C$5:$C$11</c:f>
              <c:numCache>
                <c:formatCode>_-* #,##0_-;\-* #,##0_-;_-* "-"??_-;_-@_-</c:formatCode>
                <c:ptCount val="7"/>
                <c:pt idx="0">
                  <c:v>590000</c:v>
                </c:pt>
                <c:pt idx="1">
                  <c:v>1190000</c:v>
                </c:pt>
                <c:pt idx="2">
                  <c:v>1880000</c:v>
                </c:pt>
                <c:pt idx="3">
                  <c:v>2580000</c:v>
                </c:pt>
                <c:pt idx="4">
                  <c:v>3210000</c:v>
                </c:pt>
                <c:pt idx="5">
                  <c:v>3660000</c:v>
                </c:pt>
                <c:pt idx="6">
                  <c:v>4110000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67-424D-8F78-650AFDB2B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0057632"/>
        <c:axId val="1240059072"/>
      </c:lineChart>
      <c:dateAx>
        <c:axId val="12400576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059072"/>
        <c:crosses val="autoZero"/>
        <c:auto val="1"/>
        <c:lblOffset val="100"/>
        <c:baseTimeUnit val="months"/>
      </c:dateAx>
      <c:valAx>
        <c:axId val="124005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05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11</xdr:row>
      <xdr:rowOff>106135</xdr:rowOff>
    </xdr:from>
    <xdr:to>
      <xdr:col>7</xdr:col>
      <xdr:colOff>0</xdr:colOff>
      <xdr:row>31</xdr:row>
      <xdr:rowOff>87085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FE3656-B091-E91D-957A-6A1A3B0108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3ADDD4B-ED9F-435E-AC38-9852B6340747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ce0ff0a3-417f-49c5-a90f-eb41d57900c7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CA9C0-9C58-4F75-869D-8D1A35F325AC}">
  <dimension ref="A1:J24"/>
  <sheetViews>
    <sheetView workbookViewId="0">
      <selection activeCell="J24" sqref="J24"/>
    </sheetView>
  </sheetViews>
  <sheetFormatPr defaultRowHeight="14.6" outlineLevelRow="1" x14ac:dyDescent="0.4"/>
  <cols>
    <col min="1" max="1" width="12.69140625" style="2" customWidth="1"/>
    <col min="2" max="2" width="35.69140625" customWidth="1"/>
    <col min="3" max="3" width="16.69140625" customWidth="1"/>
    <col min="4" max="4" width="20.69140625" customWidth="1"/>
    <col min="5" max="7" width="16.69140625" customWidth="1"/>
    <col min="8" max="8" width="20.69140625" customWidth="1"/>
    <col min="9" max="9" width="16.69140625" customWidth="1"/>
    <col min="10" max="10" width="14.69140625" customWidth="1"/>
  </cols>
  <sheetData>
    <row r="1" spans="1:10" ht="35.049999999999997" customHeight="1" x14ac:dyDescent="0.4">
      <c r="A1" s="51" t="s">
        <v>55</v>
      </c>
      <c r="B1" s="51"/>
      <c r="C1" s="51"/>
      <c r="D1" s="51"/>
      <c r="E1" s="51"/>
      <c r="F1" s="51"/>
      <c r="G1" s="51"/>
      <c r="H1" s="51"/>
      <c r="I1" s="51"/>
      <c r="J1" s="51"/>
    </row>
    <row r="2" spans="1:10" ht="25" customHeight="1" x14ac:dyDescent="0.4">
      <c r="A2" s="52" t="str">
        <f ca="1">"Meridian Cost Consultants | Report Date: "&amp;TEXT(TODAY(),"DD MMMM YYYY")</f>
        <v>Meridian Cost Consultants | Report Date: 16 May 2026</v>
      </c>
      <c r="B2" s="52"/>
      <c r="C2" s="52"/>
      <c r="D2" s="52"/>
      <c r="E2" s="52"/>
      <c r="F2" s="52"/>
      <c r="G2" s="52"/>
      <c r="H2" s="52"/>
      <c r="I2" s="52"/>
      <c r="J2" s="52"/>
    </row>
    <row r="4" spans="1:10" ht="30" customHeight="1" x14ac:dyDescent="0.4">
      <c r="A4" s="7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18</v>
      </c>
      <c r="J4" s="1" t="s">
        <v>8</v>
      </c>
    </row>
    <row r="5" spans="1:10" x14ac:dyDescent="0.4">
      <c r="A5" s="8" t="s">
        <v>19</v>
      </c>
      <c r="B5" s="3" t="s">
        <v>57</v>
      </c>
      <c r="C5" s="33">
        <f>SUM(C6:C7)</f>
        <v>294000</v>
      </c>
      <c r="D5" s="33">
        <f t="shared" ref="D5:G5" si="0">SUM(D6:D7)</f>
        <v>0</v>
      </c>
      <c r="E5" s="33">
        <f t="shared" si="0"/>
        <v>294000</v>
      </c>
      <c r="F5" s="33">
        <f t="shared" si="0"/>
        <v>294000</v>
      </c>
      <c r="G5" s="33">
        <f t="shared" si="0"/>
        <v>294000</v>
      </c>
      <c r="H5" s="33">
        <f>SUM(H6:H7)</f>
        <v>294000</v>
      </c>
      <c r="I5" s="48">
        <f>E5-H5</f>
        <v>0</v>
      </c>
      <c r="J5" s="11">
        <f>SUMPRODUCT(E6:E7, J6:J7)/SUM(E6:E7)</f>
        <v>1</v>
      </c>
    </row>
    <row r="6" spans="1:10" outlineLevel="1" x14ac:dyDescent="0.4">
      <c r="A6" s="9" t="s">
        <v>20</v>
      </c>
      <c r="B6" s="5" t="s">
        <v>58</v>
      </c>
      <c r="C6" s="34">
        <v>168000</v>
      </c>
      <c r="D6" s="34"/>
      <c r="E6" s="34">
        <f t="shared" ref="E6:E23" si="1">C6+D6</f>
        <v>168000</v>
      </c>
      <c r="F6" s="34">
        <v>168000</v>
      </c>
      <c r="G6" s="34">
        <v>168000</v>
      </c>
      <c r="H6" s="34">
        <v>168000</v>
      </c>
      <c r="I6" s="49">
        <f t="shared" ref="I6:I23" si="2">E6-H6</f>
        <v>0</v>
      </c>
      <c r="J6" s="12">
        <v>1</v>
      </c>
    </row>
    <row r="7" spans="1:10" outlineLevel="1" x14ac:dyDescent="0.4">
      <c r="A7" s="10" t="s">
        <v>21</v>
      </c>
      <c r="B7" s="6" t="s">
        <v>59</v>
      </c>
      <c r="C7" s="35">
        <v>126000</v>
      </c>
      <c r="D7" s="35"/>
      <c r="E7" s="35">
        <f t="shared" si="1"/>
        <v>126000</v>
      </c>
      <c r="F7" s="35">
        <v>126000</v>
      </c>
      <c r="G7" s="35">
        <v>126000</v>
      </c>
      <c r="H7" s="35">
        <v>126000</v>
      </c>
      <c r="I7" s="50">
        <f t="shared" si="2"/>
        <v>0</v>
      </c>
      <c r="J7" s="13">
        <v>1</v>
      </c>
    </row>
    <row r="8" spans="1:10" x14ac:dyDescent="0.4">
      <c r="A8" s="8" t="s">
        <v>22</v>
      </c>
      <c r="B8" s="3" t="s">
        <v>60</v>
      </c>
      <c r="C8" s="33">
        <f>SUM(C9:C12)</f>
        <v>1092000</v>
      </c>
      <c r="D8" s="33">
        <f t="shared" ref="D8:H8" si="3">SUM(D9:D12)</f>
        <v>28000</v>
      </c>
      <c r="E8" s="33">
        <f t="shared" si="3"/>
        <v>1120000</v>
      </c>
      <c r="F8" s="33">
        <f t="shared" si="3"/>
        <v>1120000</v>
      </c>
      <c r="G8" s="33">
        <f t="shared" si="3"/>
        <v>1120000</v>
      </c>
      <c r="H8" s="33">
        <f t="shared" si="3"/>
        <v>1120000</v>
      </c>
      <c r="I8" s="48">
        <f>E8-H8</f>
        <v>0</v>
      </c>
      <c r="J8" s="11">
        <f>SUMPRODUCT(E9:E11,J9:J11)/SUM(E9:E11)</f>
        <v>1</v>
      </c>
    </row>
    <row r="9" spans="1:10" outlineLevel="1" x14ac:dyDescent="0.4">
      <c r="A9" s="9" t="s">
        <v>23</v>
      </c>
      <c r="B9" s="5" t="s">
        <v>61</v>
      </c>
      <c r="C9" s="34">
        <v>378000</v>
      </c>
      <c r="D9" s="34"/>
      <c r="E9" s="34">
        <f t="shared" si="1"/>
        <v>378000</v>
      </c>
      <c r="F9" s="34">
        <v>378000</v>
      </c>
      <c r="G9" s="34">
        <v>378000</v>
      </c>
      <c r="H9" s="34">
        <v>378000</v>
      </c>
      <c r="I9" s="49">
        <f t="shared" si="2"/>
        <v>0</v>
      </c>
      <c r="J9" s="12">
        <v>1</v>
      </c>
    </row>
    <row r="10" spans="1:10" outlineLevel="1" x14ac:dyDescent="0.4">
      <c r="A10" s="10" t="s">
        <v>24</v>
      </c>
      <c r="B10" s="6" t="s">
        <v>62</v>
      </c>
      <c r="C10" s="35">
        <v>252000</v>
      </c>
      <c r="D10" s="35"/>
      <c r="E10" s="35">
        <f t="shared" si="1"/>
        <v>252000</v>
      </c>
      <c r="F10" s="35">
        <v>252000</v>
      </c>
      <c r="G10" s="35">
        <v>252000</v>
      </c>
      <c r="H10" s="35">
        <v>252000</v>
      </c>
      <c r="I10" s="50">
        <f t="shared" si="2"/>
        <v>0</v>
      </c>
      <c r="J10" s="13">
        <v>1</v>
      </c>
    </row>
    <row r="11" spans="1:10" outlineLevel="1" x14ac:dyDescent="0.4">
      <c r="A11" s="9" t="s">
        <v>25</v>
      </c>
      <c r="B11" s="5" t="s">
        <v>63</v>
      </c>
      <c r="C11" s="34">
        <v>294000</v>
      </c>
      <c r="D11" s="34">
        <v>28000</v>
      </c>
      <c r="E11" s="34">
        <f t="shared" si="1"/>
        <v>322000</v>
      </c>
      <c r="F11" s="34">
        <v>322000</v>
      </c>
      <c r="G11" s="34">
        <v>322000</v>
      </c>
      <c r="H11" s="34">
        <v>322000</v>
      </c>
      <c r="I11" s="49">
        <f t="shared" si="2"/>
        <v>0</v>
      </c>
      <c r="J11" s="12">
        <v>1</v>
      </c>
    </row>
    <row r="12" spans="1:10" outlineLevel="1" x14ac:dyDescent="0.4">
      <c r="A12" s="10" t="s">
        <v>56</v>
      </c>
      <c r="B12" s="6" t="s">
        <v>64</v>
      </c>
      <c r="C12" s="35">
        <v>168000</v>
      </c>
      <c r="D12" s="35"/>
      <c r="E12" s="35">
        <f t="shared" si="1"/>
        <v>168000</v>
      </c>
      <c r="F12" s="35">
        <v>168000</v>
      </c>
      <c r="G12" s="35">
        <v>168000</v>
      </c>
      <c r="H12" s="35">
        <v>168000</v>
      </c>
      <c r="I12" s="50">
        <f t="shared" si="2"/>
        <v>0</v>
      </c>
      <c r="J12" s="13">
        <v>1</v>
      </c>
    </row>
    <row r="13" spans="1:10" x14ac:dyDescent="0.4">
      <c r="A13" s="8" t="s">
        <v>26</v>
      </c>
      <c r="B13" s="3" t="s">
        <v>65</v>
      </c>
      <c r="C13" s="33">
        <f>SUM(C14:C16)</f>
        <v>504000</v>
      </c>
      <c r="D13" s="33">
        <f t="shared" ref="D13:H13" si="4">SUM(D14:D16)</f>
        <v>0</v>
      </c>
      <c r="E13" s="33">
        <f t="shared" si="4"/>
        <v>504000</v>
      </c>
      <c r="F13" s="33">
        <f t="shared" si="4"/>
        <v>504000</v>
      </c>
      <c r="G13" s="33">
        <f t="shared" si="4"/>
        <v>504000</v>
      </c>
      <c r="H13" s="33">
        <f t="shared" si="4"/>
        <v>504000</v>
      </c>
      <c r="I13" s="48">
        <f t="shared" si="2"/>
        <v>0</v>
      </c>
      <c r="J13" s="11">
        <f>SUMPRODUCT(E14:E16,J14:J16)/SUM(E14:E16)</f>
        <v>1</v>
      </c>
    </row>
    <row r="14" spans="1:10" outlineLevel="1" x14ac:dyDescent="0.4">
      <c r="A14" s="9" t="s">
        <v>27</v>
      </c>
      <c r="B14" s="5" t="s">
        <v>66</v>
      </c>
      <c r="C14" s="34">
        <v>168000</v>
      </c>
      <c r="D14" s="34"/>
      <c r="E14" s="34">
        <f t="shared" si="1"/>
        <v>168000</v>
      </c>
      <c r="F14" s="34">
        <v>168000</v>
      </c>
      <c r="G14" s="34">
        <v>168000</v>
      </c>
      <c r="H14" s="34">
        <v>168000</v>
      </c>
      <c r="I14" s="49">
        <f t="shared" si="2"/>
        <v>0</v>
      </c>
      <c r="J14" s="12">
        <v>1</v>
      </c>
    </row>
    <row r="15" spans="1:10" outlineLevel="1" x14ac:dyDescent="0.4">
      <c r="A15" s="10" t="s">
        <v>28</v>
      </c>
      <c r="B15" s="6" t="s">
        <v>67</v>
      </c>
      <c r="C15" s="35">
        <v>210000</v>
      </c>
      <c r="D15" s="35"/>
      <c r="E15" s="35">
        <f t="shared" si="1"/>
        <v>210000</v>
      </c>
      <c r="F15" s="35">
        <v>210000</v>
      </c>
      <c r="G15" s="35">
        <v>210000</v>
      </c>
      <c r="H15" s="35">
        <v>210000</v>
      </c>
      <c r="I15" s="50">
        <f t="shared" si="2"/>
        <v>0</v>
      </c>
      <c r="J15" s="13">
        <v>1</v>
      </c>
    </row>
    <row r="16" spans="1:10" outlineLevel="1" x14ac:dyDescent="0.4">
      <c r="A16" s="9" t="s">
        <v>47</v>
      </c>
      <c r="B16" s="5" t="s">
        <v>68</v>
      </c>
      <c r="C16" s="34">
        <v>126000</v>
      </c>
      <c r="D16" s="34"/>
      <c r="E16" s="34">
        <f t="shared" si="1"/>
        <v>126000</v>
      </c>
      <c r="F16" s="34">
        <v>126000</v>
      </c>
      <c r="G16" s="34">
        <v>126000</v>
      </c>
      <c r="H16" s="34">
        <v>126000</v>
      </c>
      <c r="I16" s="49">
        <f t="shared" si="2"/>
        <v>0</v>
      </c>
      <c r="J16" s="12">
        <v>1</v>
      </c>
    </row>
    <row r="17" spans="1:10" x14ac:dyDescent="0.4">
      <c r="A17" s="8" t="s">
        <v>29</v>
      </c>
      <c r="B17" s="3" t="s">
        <v>48</v>
      </c>
      <c r="C17" s="33">
        <v>210000</v>
      </c>
      <c r="D17" s="33"/>
      <c r="E17" s="33">
        <f t="shared" si="1"/>
        <v>210000</v>
      </c>
      <c r="F17" s="33">
        <v>210000</v>
      </c>
      <c r="G17" s="33">
        <v>210000</v>
      </c>
      <c r="H17" s="33">
        <v>210000</v>
      </c>
      <c r="I17" s="48">
        <f t="shared" si="2"/>
        <v>0</v>
      </c>
      <c r="J17" s="11">
        <v>1</v>
      </c>
    </row>
    <row r="18" spans="1:10" x14ac:dyDescent="0.4">
      <c r="A18" s="8" t="s">
        <v>30</v>
      </c>
      <c r="B18" s="3" t="s">
        <v>49</v>
      </c>
      <c r="C18" s="33">
        <f>SUM(C19:C20)</f>
        <v>798000</v>
      </c>
      <c r="D18" s="33">
        <f t="shared" ref="D18:H18" si="5">SUM(D19:D20)</f>
        <v>18000</v>
      </c>
      <c r="E18" s="33">
        <f t="shared" si="5"/>
        <v>816000</v>
      </c>
      <c r="F18" s="33">
        <f t="shared" si="5"/>
        <v>816000</v>
      </c>
      <c r="G18" s="33">
        <f t="shared" si="5"/>
        <v>816000</v>
      </c>
      <c r="H18" s="33">
        <f t="shared" si="5"/>
        <v>816000</v>
      </c>
      <c r="I18" s="48">
        <f t="shared" si="2"/>
        <v>0</v>
      </c>
      <c r="J18" s="11">
        <f>SUMPRODUCT(E19:E20,J19:J20)/SUM(E19:E20)</f>
        <v>1</v>
      </c>
    </row>
    <row r="19" spans="1:10" outlineLevel="1" x14ac:dyDescent="0.4">
      <c r="A19" s="9" t="s">
        <v>31</v>
      </c>
      <c r="B19" s="5" t="s">
        <v>50</v>
      </c>
      <c r="C19" s="34">
        <v>462000</v>
      </c>
      <c r="D19" s="34"/>
      <c r="E19" s="34">
        <f t="shared" si="1"/>
        <v>462000</v>
      </c>
      <c r="F19" s="34">
        <v>462000</v>
      </c>
      <c r="G19" s="34">
        <v>462000</v>
      </c>
      <c r="H19" s="34">
        <v>462000</v>
      </c>
      <c r="I19" s="49">
        <f t="shared" si="2"/>
        <v>0</v>
      </c>
      <c r="J19" s="12">
        <v>1</v>
      </c>
    </row>
    <row r="20" spans="1:10" outlineLevel="1" x14ac:dyDescent="0.4">
      <c r="A20" s="10" t="s">
        <v>32</v>
      </c>
      <c r="B20" s="6" t="s">
        <v>69</v>
      </c>
      <c r="C20" s="35">
        <v>336000</v>
      </c>
      <c r="D20" s="35">
        <v>18000</v>
      </c>
      <c r="E20" s="35">
        <f t="shared" si="1"/>
        <v>354000</v>
      </c>
      <c r="F20" s="35">
        <v>354000</v>
      </c>
      <c r="G20" s="35">
        <v>354000</v>
      </c>
      <c r="H20" s="35">
        <v>354000</v>
      </c>
      <c r="I20" s="50">
        <f t="shared" si="2"/>
        <v>0</v>
      </c>
      <c r="J20" s="13">
        <v>1</v>
      </c>
    </row>
    <row r="21" spans="1:10" x14ac:dyDescent="0.4">
      <c r="A21" s="8" t="s">
        <v>33</v>
      </c>
      <c r="B21" s="3" t="s">
        <v>70</v>
      </c>
      <c r="C21" s="33">
        <v>252000</v>
      </c>
      <c r="D21" s="33">
        <v>32000</v>
      </c>
      <c r="E21" s="33">
        <f t="shared" si="1"/>
        <v>284000</v>
      </c>
      <c r="F21" s="33">
        <v>284000</v>
      </c>
      <c r="G21" s="33">
        <v>284000</v>
      </c>
      <c r="H21" s="33">
        <v>284000</v>
      </c>
      <c r="I21" s="48">
        <f t="shared" si="2"/>
        <v>0</v>
      </c>
      <c r="J21" s="11">
        <v>1</v>
      </c>
    </row>
    <row r="22" spans="1:10" x14ac:dyDescent="0.4">
      <c r="A22" s="8" t="s">
        <v>34</v>
      </c>
      <c r="B22" s="3" t="s">
        <v>36</v>
      </c>
      <c r="C22" s="33">
        <v>882000</v>
      </c>
      <c r="D22" s="33"/>
      <c r="E22" s="33">
        <f t="shared" si="1"/>
        <v>882000</v>
      </c>
      <c r="F22" s="33">
        <v>882000</v>
      </c>
      <c r="G22" s="33">
        <v>882000</v>
      </c>
      <c r="H22" s="33">
        <v>882000</v>
      </c>
      <c r="I22" s="48">
        <f t="shared" si="2"/>
        <v>0</v>
      </c>
      <c r="J22" s="11">
        <v>1</v>
      </c>
    </row>
    <row r="23" spans="1:10" x14ac:dyDescent="0.4">
      <c r="A23" s="8" t="s">
        <v>35</v>
      </c>
      <c r="B23" s="3" t="s">
        <v>37</v>
      </c>
      <c r="C23" s="33">
        <v>168000</v>
      </c>
      <c r="D23" s="33"/>
      <c r="E23" s="33">
        <f t="shared" si="1"/>
        <v>168000</v>
      </c>
      <c r="F23" s="33">
        <v>0</v>
      </c>
      <c r="G23" s="33">
        <v>0</v>
      </c>
      <c r="H23" s="33">
        <v>0</v>
      </c>
      <c r="I23" s="48">
        <f t="shared" si="2"/>
        <v>168000</v>
      </c>
      <c r="J23" s="11">
        <v>0</v>
      </c>
    </row>
    <row r="24" spans="1:10" x14ac:dyDescent="0.4">
      <c r="B24" s="4" t="s">
        <v>38</v>
      </c>
      <c r="C24" s="36">
        <f>SUM(C5,C8,C13,C17,C18,C23,C21,C22)</f>
        <v>4200000</v>
      </c>
      <c r="D24" s="36">
        <f t="shared" ref="D24:I24" si="6">SUM(D5,D8,D13,D17,D18,D23,D21,D22)</f>
        <v>78000</v>
      </c>
      <c r="E24" s="36">
        <f t="shared" si="6"/>
        <v>4278000</v>
      </c>
      <c r="F24" s="36">
        <f t="shared" si="6"/>
        <v>4110000</v>
      </c>
      <c r="G24" s="36">
        <f t="shared" si="6"/>
        <v>4110000</v>
      </c>
      <c r="H24" s="36">
        <f t="shared" si="6"/>
        <v>4110000</v>
      </c>
      <c r="I24" s="36">
        <f t="shared" si="6"/>
        <v>168000</v>
      </c>
      <c r="J24" s="14">
        <f>SUMPRODUCT(E5:E22,J5:J22)/SUM(E5:E22)</f>
        <v>1</v>
      </c>
    </row>
  </sheetData>
  <mergeCells count="2">
    <mergeCell ref="A1:J1"/>
    <mergeCell ref="A2:J2"/>
  </mergeCells>
  <conditionalFormatting sqref="I5:I23">
    <cfRule type="cellIs" dxfId="4" priority="1" operator="greaterThan">
      <formula>0</formula>
    </cfRule>
    <cfRule type="expression" dxfId="3" priority="2">
      <formula>AND(I5&lt;0, I5&gt;=-E5*0.02)</formula>
    </cfRule>
    <cfRule type="cellIs" dxfId="2" priority="3" operator="lessThan">
      <formula>0</formula>
    </cfRule>
  </conditionalFormatting>
  <pageMargins left="0.7" right="0.7" top="0.75" bottom="0.75" header="0.3" footer="0.3"/>
  <ignoredErrors>
    <ignoredError sqref="A5:A23" numberStoredAsText="1"/>
    <ignoredError sqref="C18:D18" formulaRange="1"/>
    <ignoredError sqref="E6:E11 E13:E14 E20:E23 E17:E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7EEEB-5485-4D53-B51F-28DE04337FA4}">
  <dimension ref="A1:G1048574"/>
  <sheetViews>
    <sheetView workbookViewId="0">
      <selection activeCell="N6" sqref="N6"/>
    </sheetView>
  </sheetViews>
  <sheetFormatPr defaultRowHeight="14.6" x14ac:dyDescent="0.4"/>
  <cols>
    <col min="1" max="1" width="18.69140625" customWidth="1"/>
    <col min="2" max="4" width="22.69140625" customWidth="1"/>
    <col min="5" max="5" width="14.69140625" customWidth="1"/>
    <col min="6" max="6" width="10.69140625" customWidth="1"/>
    <col min="7" max="7" width="16.69140625" customWidth="1"/>
  </cols>
  <sheetData>
    <row r="1" spans="1:7" ht="35.049999999999997" customHeight="1" x14ac:dyDescent="0.4">
      <c r="A1" s="51" t="s">
        <v>71</v>
      </c>
      <c r="B1" s="51"/>
      <c r="C1" s="51"/>
      <c r="D1" s="51"/>
      <c r="E1" s="51"/>
      <c r="F1" s="51"/>
      <c r="G1" s="51"/>
    </row>
    <row r="2" spans="1:7" ht="25" customHeight="1" x14ac:dyDescent="0.4">
      <c r="A2" s="52" t="s">
        <v>51</v>
      </c>
      <c r="B2" s="52"/>
      <c r="C2" s="52"/>
      <c r="D2" s="52"/>
      <c r="E2" s="52"/>
      <c r="F2" s="52"/>
      <c r="G2" s="52"/>
    </row>
    <row r="4" spans="1:7" x14ac:dyDescent="0.4">
      <c r="A4" s="37" t="s">
        <v>39</v>
      </c>
      <c r="B4" s="38" t="s">
        <v>40</v>
      </c>
      <c r="C4" s="38" t="s">
        <v>41</v>
      </c>
      <c r="D4" s="38" t="s">
        <v>42</v>
      </c>
      <c r="E4" s="38" t="s">
        <v>43</v>
      </c>
      <c r="F4" s="38" t="s">
        <v>44</v>
      </c>
      <c r="G4" s="39" t="s">
        <v>45</v>
      </c>
    </row>
    <row r="5" spans="1:7" x14ac:dyDescent="0.4">
      <c r="A5" s="42">
        <v>45901</v>
      </c>
      <c r="B5" s="43">
        <v>620000</v>
      </c>
      <c r="C5" s="43">
        <v>590000</v>
      </c>
      <c r="D5" s="44">
        <f>B5-C5</f>
        <v>30000</v>
      </c>
      <c r="E5" s="45">
        <f>D5/B5</f>
        <v>4.8387096774193547E-2</v>
      </c>
      <c r="F5" s="46">
        <f>B5/C5</f>
        <v>1.0508474576271187</v>
      </c>
      <c r="G5" s="47">
        <f>'Cost Plan'!$E$24/F5</f>
        <v>4070999.9999999995</v>
      </c>
    </row>
    <row r="6" spans="1:7" x14ac:dyDescent="0.4">
      <c r="A6" s="19">
        <v>45931</v>
      </c>
      <c r="B6" s="20">
        <v>1250000</v>
      </c>
      <c r="C6" s="20">
        <v>1190000</v>
      </c>
      <c r="D6" s="24">
        <f t="shared" ref="D6:D10" si="0">B6-C6</f>
        <v>60000</v>
      </c>
      <c r="E6" s="21">
        <f t="shared" ref="E6:E10" si="1">D6/B6</f>
        <v>4.8000000000000001E-2</v>
      </c>
      <c r="F6" s="41">
        <f t="shared" ref="F6:F10" si="2">B6/C6</f>
        <v>1.0504201680672269</v>
      </c>
      <c r="G6" s="22">
        <f>'Cost Plan'!$E$24/F6</f>
        <v>4072656</v>
      </c>
    </row>
    <row r="7" spans="1:7" x14ac:dyDescent="0.4">
      <c r="A7" s="15">
        <v>45962</v>
      </c>
      <c r="B7" s="16">
        <v>1980000</v>
      </c>
      <c r="C7" s="16">
        <v>1880000</v>
      </c>
      <c r="D7" s="23">
        <f t="shared" si="0"/>
        <v>100000</v>
      </c>
      <c r="E7" s="17">
        <f t="shared" si="1"/>
        <v>5.0505050505050504E-2</v>
      </c>
      <c r="F7" s="40">
        <f t="shared" si="2"/>
        <v>1.053191489361702</v>
      </c>
      <c r="G7" s="18">
        <f>'Cost Plan'!$E$24/F7</f>
        <v>4061939.3939393945</v>
      </c>
    </row>
    <row r="8" spans="1:7" x14ac:dyDescent="0.4">
      <c r="A8" s="19">
        <v>45992</v>
      </c>
      <c r="B8" s="20">
        <v>2720000</v>
      </c>
      <c r="C8" s="20">
        <v>2580000</v>
      </c>
      <c r="D8" s="24">
        <f t="shared" si="0"/>
        <v>140000</v>
      </c>
      <c r="E8" s="21">
        <f t="shared" si="1"/>
        <v>5.1470588235294115E-2</v>
      </c>
      <c r="F8" s="41">
        <f t="shared" si="2"/>
        <v>1.054263565891473</v>
      </c>
      <c r="G8" s="22">
        <f>'Cost Plan'!$E$24/F8</f>
        <v>4057808.8235294116</v>
      </c>
    </row>
    <row r="9" spans="1:7" x14ac:dyDescent="0.4">
      <c r="A9" s="15">
        <v>46023</v>
      </c>
      <c r="B9" s="16">
        <v>3380000</v>
      </c>
      <c r="C9" s="16">
        <v>3210000</v>
      </c>
      <c r="D9" s="23">
        <f t="shared" si="0"/>
        <v>170000</v>
      </c>
      <c r="E9" s="17">
        <f t="shared" si="1"/>
        <v>5.0295857988165681E-2</v>
      </c>
      <c r="F9" s="40">
        <f t="shared" si="2"/>
        <v>1.0529595015576323</v>
      </c>
      <c r="G9" s="18">
        <f>'Cost Plan'!$E$24/F9</f>
        <v>4062834.3195266277</v>
      </c>
    </row>
    <row r="10" spans="1:7" x14ac:dyDescent="0.4">
      <c r="A10" s="19">
        <v>46054</v>
      </c>
      <c r="B10" s="20">
        <v>3850000</v>
      </c>
      <c r="C10" s="20">
        <v>3660000</v>
      </c>
      <c r="D10" s="24">
        <f t="shared" si="0"/>
        <v>190000</v>
      </c>
      <c r="E10" s="21">
        <f t="shared" si="1"/>
        <v>4.9350649350649353E-2</v>
      </c>
      <c r="F10" s="41">
        <f t="shared" si="2"/>
        <v>1.0519125683060109</v>
      </c>
      <c r="G10" s="22">
        <f>'Cost Plan'!$E$24/F10</f>
        <v>4066877.9220779222</v>
      </c>
    </row>
    <row r="11" spans="1:7" x14ac:dyDescent="0.4">
      <c r="A11" s="15">
        <v>46082</v>
      </c>
      <c r="B11" s="16">
        <v>4110000</v>
      </c>
      <c r="C11" s="16">
        <v>4110000</v>
      </c>
      <c r="D11" s="23">
        <f t="shared" ref="D11" si="3">B11-C11</f>
        <v>0</v>
      </c>
      <c r="E11" s="17">
        <f t="shared" ref="E11" si="4">D11/B11</f>
        <v>0</v>
      </c>
      <c r="F11" s="40">
        <f t="shared" ref="F11" si="5">B11/C11</f>
        <v>1</v>
      </c>
      <c r="G11" s="18">
        <f>'Cost Plan'!$E$24/F11</f>
        <v>4278000</v>
      </c>
    </row>
    <row r="12" spans="1:7" x14ac:dyDescent="0.4">
      <c r="A12" s="19"/>
      <c r="B12" s="20"/>
      <c r="C12" s="20"/>
      <c r="D12" s="24"/>
      <c r="E12" s="21"/>
      <c r="F12" s="41"/>
      <c r="G12" s="20"/>
    </row>
    <row r="13" spans="1:7" x14ac:dyDescent="0.4">
      <c r="A13" s="19"/>
      <c r="B13" s="20"/>
      <c r="C13" s="20"/>
      <c r="D13" s="24"/>
      <c r="E13" s="21"/>
      <c r="F13" s="41"/>
      <c r="G13" s="20"/>
    </row>
    <row r="14" spans="1:7" x14ac:dyDescent="0.4">
      <c r="A14" s="19"/>
      <c r="B14" s="20"/>
      <c r="C14" s="20"/>
      <c r="D14" s="24"/>
      <c r="E14" s="21"/>
      <c r="F14" s="41"/>
      <c r="G14" s="20"/>
    </row>
    <row r="15" spans="1:7" x14ac:dyDescent="0.4">
      <c r="A15" s="19"/>
      <c r="B15" s="20"/>
      <c r="C15" s="20"/>
      <c r="D15" s="24"/>
      <c r="E15" s="21"/>
      <c r="F15" s="41"/>
      <c r="G15" s="20"/>
    </row>
    <row r="16" spans="1:7" x14ac:dyDescent="0.4">
      <c r="A16" s="19"/>
      <c r="B16" s="20"/>
      <c r="C16" s="20"/>
      <c r="D16" s="24"/>
      <c r="E16" s="21"/>
      <c r="F16" s="41"/>
      <c r="G16" s="20"/>
    </row>
    <row r="17" spans="1:7" x14ac:dyDescent="0.4">
      <c r="A17" s="19"/>
      <c r="B17" s="20"/>
      <c r="C17" s="20"/>
      <c r="D17" s="24"/>
      <c r="E17" s="21"/>
      <c r="F17" s="41"/>
      <c r="G17" s="20"/>
    </row>
    <row r="18" spans="1:7" x14ac:dyDescent="0.4">
      <c r="A18" s="19"/>
      <c r="B18" s="20"/>
      <c r="C18" s="20"/>
      <c r="D18" s="24"/>
      <c r="E18" s="21"/>
      <c r="F18" s="41"/>
      <c r="G18" s="20"/>
    </row>
    <row r="19" spans="1:7" x14ac:dyDescent="0.4">
      <c r="A19" s="19"/>
      <c r="B19" s="20"/>
      <c r="C19" s="20"/>
      <c r="D19" s="24"/>
      <c r="E19" s="21"/>
      <c r="F19" s="41"/>
      <c r="G19" s="20"/>
    </row>
    <row r="20" spans="1:7" x14ac:dyDescent="0.4">
      <c r="A20" s="19"/>
      <c r="B20" s="20"/>
      <c r="C20" s="20"/>
      <c r="D20" s="24"/>
      <c r="E20" s="21"/>
      <c r="F20" s="41"/>
      <c r="G20" s="20"/>
    </row>
    <row r="21" spans="1:7" x14ac:dyDescent="0.4">
      <c r="A21" s="19"/>
      <c r="B21" s="20"/>
      <c r="C21" s="20"/>
      <c r="D21" s="24"/>
      <c r="E21" s="21"/>
      <c r="F21" s="41"/>
      <c r="G21" s="20"/>
    </row>
    <row r="1048574" spans="2:3" x14ac:dyDescent="0.4">
      <c r="B1048574">
        <f>SUM(B1:B1048573)</f>
        <v>17910000</v>
      </c>
      <c r="C1048574">
        <f>SUM(C1:C1048573)</f>
        <v>17220000</v>
      </c>
    </row>
  </sheetData>
  <mergeCells count="2">
    <mergeCell ref="A1:G1"/>
    <mergeCell ref="A2:G2"/>
  </mergeCells>
  <conditionalFormatting sqref="D5:D21">
    <cfRule type="expression" dxfId="1" priority="1">
      <formula>D5&gt;0</formula>
    </cfRule>
    <cfRule type="expression" dxfId="0" priority="2">
      <formula>D5&lt;0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B73FC-2423-441D-B32D-DF5AF30B74F5}">
  <dimension ref="A1:B10"/>
  <sheetViews>
    <sheetView tabSelected="1" workbookViewId="0">
      <selection activeCell="B10" sqref="B10"/>
    </sheetView>
  </sheetViews>
  <sheetFormatPr defaultRowHeight="14.6" x14ac:dyDescent="0.4"/>
  <cols>
    <col min="1" max="1" width="25.69140625" bestFit="1" customWidth="1"/>
    <col min="2" max="2" width="37.07421875" bestFit="1" customWidth="1"/>
  </cols>
  <sheetData>
    <row r="1" spans="1:2" x14ac:dyDescent="0.4">
      <c r="A1" s="25" t="s">
        <v>0</v>
      </c>
      <c r="B1" s="27" t="s">
        <v>52</v>
      </c>
    </row>
    <row r="2" spans="1:2" x14ac:dyDescent="0.4">
      <c r="A2" s="26" t="s">
        <v>1</v>
      </c>
      <c r="B2" s="28" t="s">
        <v>53</v>
      </c>
    </row>
    <row r="3" spans="1:2" x14ac:dyDescent="0.4">
      <c r="A3" s="25" t="s">
        <v>2</v>
      </c>
      <c r="B3" s="27" t="s">
        <v>46</v>
      </c>
    </row>
    <row r="4" spans="1:2" x14ac:dyDescent="0.4">
      <c r="A4" s="26" t="s">
        <v>3</v>
      </c>
      <c r="B4" s="29">
        <v>4200000</v>
      </c>
    </row>
    <row r="5" spans="1:2" x14ac:dyDescent="0.4">
      <c r="A5" s="25" t="s">
        <v>4</v>
      </c>
      <c r="B5" s="30">
        <v>45536</v>
      </c>
    </row>
    <row r="6" spans="1:2" x14ac:dyDescent="0.4">
      <c r="A6" s="26" t="s">
        <v>5</v>
      </c>
      <c r="B6" s="31">
        <v>45900</v>
      </c>
    </row>
    <row r="7" spans="1:2" x14ac:dyDescent="0.4">
      <c r="A7" s="25" t="s">
        <v>6</v>
      </c>
      <c r="B7" s="27" t="s">
        <v>9</v>
      </c>
    </row>
    <row r="8" spans="1:2" x14ac:dyDescent="0.4">
      <c r="A8" s="26" t="s">
        <v>7</v>
      </c>
      <c r="B8" s="28" t="s">
        <v>54</v>
      </c>
    </row>
    <row r="9" spans="1:2" x14ac:dyDescent="0.4">
      <c r="A9" s="25" t="s">
        <v>8</v>
      </c>
      <c r="B9" s="32">
        <f>'Cost Plan'!J24</f>
        <v>1</v>
      </c>
    </row>
    <row r="10" spans="1:2" x14ac:dyDescent="0.4">
      <c r="A10" s="26" t="s">
        <v>72</v>
      </c>
      <c r="B10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 Plan</vt:lpstr>
      <vt:lpstr>CVR</vt:lpstr>
      <vt:lpstr>Project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Tonmoy</dc:creator>
  <cp:lastModifiedBy>R Tonmoy</cp:lastModifiedBy>
  <dcterms:created xsi:type="dcterms:W3CDTF">2026-05-07T14:10:09Z</dcterms:created>
  <dcterms:modified xsi:type="dcterms:W3CDTF">2026-05-16T06:41:37Z</dcterms:modified>
</cp:coreProperties>
</file>