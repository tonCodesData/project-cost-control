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68FCA4BD-3713-416A-BA7D-AD50A7DF6549}" xr6:coauthVersionLast="47" xr6:coauthVersionMax="47" xr10:uidLastSave="{00000000-0000-0000-0000-000000000000}"/>
  <bookViews>
    <workbookView xWindow="-103" yWindow="-103" windowWidth="24892" windowHeight="14092" activeTab="2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1" l="1"/>
  <c r="F19" i="1"/>
  <c r="G19" i="1"/>
  <c r="H19" i="1"/>
  <c r="D16" i="1"/>
  <c r="F16" i="1"/>
  <c r="G16" i="1"/>
  <c r="H16" i="1"/>
  <c r="D12" i="1"/>
  <c r="F12" i="1"/>
  <c r="G12" i="1"/>
  <c r="H12" i="1"/>
  <c r="D8" i="1"/>
  <c r="F8" i="1"/>
  <c r="G8" i="1"/>
  <c r="H8" i="1"/>
  <c r="D5" i="1"/>
  <c r="F5" i="1"/>
  <c r="G5" i="1"/>
  <c r="H5" i="1"/>
  <c r="E6" i="1"/>
  <c r="E7" i="1"/>
  <c r="E9" i="1"/>
  <c r="E10" i="1"/>
  <c r="E11" i="1"/>
  <c r="E13" i="1"/>
  <c r="E14" i="1"/>
  <c r="E15" i="1"/>
  <c r="E17" i="1"/>
  <c r="E18" i="1"/>
  <c r="E20" i="1"/>
  <c r="E21" i="1"/>
  <c r="E22" i="1"/>
  <c r="E23" i="1"/>
  <c r="E24" i="1"/>
  <c r="E25" i="1"/>
  <c r="C19" i="1"/>
  <c r="C16" i="1"/>
  <c r="C12" i="1"/>
  <c r="C8" i="1"/>
  <c r="C5" i="1"/>
  <c r="E19" i="1" l="1"/>
  <c r="E16" i="1"/>
  <c r="E12" i="1"/>
  <c r="E8" i="1"/>
  <c r="F26" i="1"/>
  <c r="I8" i="1"/>
  <c r="G26" i="1"/>
  <c r="C26" i="1"/>
  <c r="D26" i="1"/>
  <c r="J5" i="1"/>
  <c r="E5" i="1"/>
  <c r="H26" i="1"/>
  <c r="D11" i="2"/>
  <c r="E11" i="2" s="1"/>
  <c r="F11" i="2"/>
  <c r="D12" i="2"/>
  <c r="E12" i="2"/>
  <c r="F12" i="2"/>
  <c r="D13" i="2"/>
  <c r="E13" i="2"/>
  <c r="F13" i="2"/>
  <c r="I22" i="1"/>
  <c r="I5" i="1" l="1"/>
  <c r="E2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I7" i="1"/>
  <c r="I11" i="1"/>
  <c r="I15" i="1"/>
  <c r="I18" i="1"/>
  <c r="A2" i="1"/>
  <c r="B1048576" i="2"/>
  <c r="C1048576" i="2"/>
  <c r="J16" i="1" l="1"/>
  <c r="I17" i="1"/>
  <c r="I14" i="1"/>
  <c r="I10" i="1"/>
  <c r="I6" i="1"/>
  <c r="I16" i="1"/>
  <c r="I13" i="1" l="1"/>
  <c r="J12" i="1"/>
  <c r="I25" i="1"/>
  <c r="I12" i="1" l="1"/>
  <c r="I24" i="1"/>
  <c r="J8" i="1" l="1"/>
  <c r="I9" i="1"/>
  <c r="I23" i="1" l="1"/>
  <c r="G5" i="2" l="1"/>
  <c r="J19" i="1"/>
  <c r="J26" i="1" s="1"/>
  <c r="B9" i="3" s="1"/>
  <c r="I19" i="1"/>
  <c r="G7" i="2"/>
  <c r="G8" i="2"/>
  <c r="G9" i="2"/>
  <c r="G10" i="2"/>
  <c r="G11" i="2"/>
  <c r="G12" i="2"/>
  <c r="G13" i="2"/>
  <c r="I26" i="1"/>
  <c r="I21" i="1"/>
  <c r="I20" i="1"/>
  <c r="G6" i="2" l="1"/>
</calcChain>
</file>

<file path=xl/sharedStrings.xml><?xml version="1.0" encoding="utf-8"?>
<sst xmlns="http://schemas.openxmlformats.org/spreadsheetml/2006/main" count="79" uniqueCount="78">
  <si>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</si>
  <si>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</si>
  <si>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</si>
  <si>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</si>
  <si>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</si>
  <si>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</si>
  <si>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</si>
  <si>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</si>
  <si>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</si>
  <si>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</si>
  <si>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</si>
  <si>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</si>
  <si>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</si>
  <si>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</si>
  <si>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</si>
  <si>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</si>
  <si>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</si>
  <si>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</si>
  <si>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</si>
  <si>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</si>
  <si>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</si>
  <si>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</si>
  <si>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</si>
  <si>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</si>
  <si>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</si>
  <si>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</si>
  <si>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</si>
  <si>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</si>
  <si>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</si>
  <si>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</si>
  <si>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</si>
  <si>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</si>
  <si>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</si>
  <si>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</si>
  <si>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</si>
  <si>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</si>
  <si>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</si>
  <si>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</si>
  <si>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</si>
  <si>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</si>
  <si>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</si>
  <si>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</si>
  <si>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</si>
  <si>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</si>
  <si>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</si>
  <si>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</si>
  <si>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</si>
  <si>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4.1</t>
  </si>
  <si>
    <t>4.2</t>
  </si>
  <si>
    <t>Government Office Refurbishment</t>
  </si>
  <si>
    <t>His Majesty's Revenue &amp; Customs</t>
  </si>
  <si>
    <t>JCT Intermediate Building Contract 2016</t>
  </si>
  <si>
    <t>Government Office Refurbishment — Elemental Cost Plan</t>
  </si>
  <si>
    <t>3.3</t>
  </si>
  <si>
    <t>5.3</t>
  </si>
  <si>
    <t>Strip Out &amp; Demolition</t>
  </si>
  <si>
    <t>Soft Strip Out</t>
  </si>
  <si>
    <t>Structural Alterations</t>
  </si>
  <si>
    <t>Fabric Repairs &amp; Renewals</t>
  </si>
  <si>
    <t>Roof Repairs &amp; Renewals</t>
  </si>
  <si>
    <t>Facade &amp; Window Replacements</t>
  </si>
  <si>
    <t>Internal Structural Repairs</t>
  </si>
  <si>
    <t>Internal Fit Out</t>
  </si>
  <si>
    <t>Partitioning &amp; Internal Doors</t>
  </si>
  <si>
    <t>Wall, Floor &amp; Ceiling Finishes</t>
  </si>
  <si>
    <t>Joinery &amp; Ironmongery</t>
  </si>
  <si>
    <t>Fittings &amp; Furnishings</t>
  </si>
  <si>
    <t>Fixed Furniture &amp; Storage</t>
  </si>
  <si>
    <t>Loose Furniture &amp; Equipment</t>
  </si>
  <si>
    <t>Building Services</t>
  </si>
  <si>
    <t>Mechanical &amp; HVAC</t>
  </si>
  <si>
    <t>Electrical &amp; Data</t>
  </si>
  <si>
    <t>Lift Refurbishment</t>
  </si>
  <si>
    <t>External Works &amp; Landscaping</t>
  </si>
  <si>
    <t>Government Office Refurbishment — Cost Value Reconciliation</t>
  </si>
  <si>
    <t>Meridian Cost Consultants | Reporting Period: March 2026</t>
  </si>
  <si>
    <t>Sector</t>
  </si>
  <si>
    <t>Public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</si>
</sst>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2" fontId="0" fillId="5" borderId="0" xfId="0" applyNumberFormat="1" applyFill="1"/>
    <xf numFmtId="2" fontId="0" fillId="0" borderId="0" xfId="0" applyNumberFormat="1"/>
    <xf numFmtId="17" fontId="0" fillId="5" borderId="3" xfId="0" applyNumberFormat="1" applyFill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65" fontId="0" fillId="5" borderId="5" xfId="3" applyNumberFormat="1" applyFont="1" applyFill="1" applyBorder="1"/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  <xf numFmtId="37" fontId="1" fillId="3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Government Office Refurbishment</a:t>
            </a:r>
            <a:endParaRPr lang="en-GB"/>
          </a:p>
        </c:rich>
      </c:tx>
      <c:layout>
        <c:manualLayout>
          <c:xMode val="edge"/>
          <c:yMode val="edge"/>
          <c:x val="0.24934299067084914"/>
          <c:y val="2.759300213221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8"/>
              <c:layout>
                <c:manualLayout>
                  <c:x val="-8.8383840580606894E-3"/>
                  <c:y val="0.1345158853945296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CVR!$A$5:$A$13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CVR!$B$5:$B$13</c:f>
              <c:numCache>
                <c:formatCode>_-* #,##0_-;\-* #,##0_-;_-* "-"??_-;_-@_-</c:formatCode>
                <c:ptCount val="9"/>
                <c:pt idx="0">
                  <c:v>920000</c:v>
                </c:pt>
                <c:pt idx="1">
                  <c:v>1680000</c:v>
                </c:pt>
                <c:pt idx="2">
                  <c:v>2450000</c:v>
                </c:pt>
                <c:pt idx="3">
                  <c:v>3280000</c:v>
                </c:pt>
                <c:pt idx="4">
                  <c:v>4100000</c:v>
                </c:pt>
                <c:pt idx="5">
                  <c:v>4850000</c:v>
                </c:pt>
                <c:pt idx="6">
                  <c:v>5520000</c:v>
                </c:pt>
                <c:pt idx="7">
                  <c:v>6180000</c:v>
                </c:pt>
                <c:pt idx="8">
                  <c:v>6720000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8"/>
              <c:layout>
                <c:manualLayout>
                  <c:x val="-1.7676768116121056E-2"/>
                  <c:y val="-7.24316305970544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CVR!$A$5:$A$13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CVR!$C$5:$C$13</c:f>
              <c:numCache>
                <c:formatCode>_-* #,##0_-;\-* #,##0_-;_-* "-"??_-;_-@_-</c:formatCode>
                <c:ptCount val="9"/>
                <c:pt idx="0">
                  <c:v>980000</c:v>
                </c:pt>
                <c:pt idx="1">
                  <c:v>1780000</c:v>
                </c:pt>
                <c:pt idx="2">
                  <c:v>2590000</c:v>
                </c:pt>
                <c:pt idx="3">
                  <c:v>3450000</c:v>
                </c:pt>
                <c:pt idx="4">
                  <c:v>4280000</c:v>
                </c:pt>
                <c:pt idx="5">
                  <c:v>5050000</c:v>
                </c:pt>
                <c:pt idx="6">
                  <c:v>5740000</c:v>
                </c:pt>
                <c:pt idx="7">
                  <c:v>6420000</c:v>
                </c:pt>
                <c:pt idx="8">
                  <c:v>6980000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13</xdr:row>
      <xdr:rowOff>106135</xdr:rowOff>
    </xdr:from>
    <xdr:to>
      <xdr:col>7</xdr:col>
      <xdr:colOff>0</xdr:colOff>
      <xdr:row>33</xdr:row>
      <xdr:rowOff>87085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topLeftCell="B1" workbookViewId="0">
      <selection activeCell="H24" sqref="H24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2" t="s">
        <v>52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5" customHeight="1" x14ac:dyDescent="0.4">
      <c r="A2" s="53" t="str">
        <f ca="1">"Meridian Cost Consultants | Report Date: "&amp;TEXT(TODAY(),"DD MMMM YYYY")</f>
        <v>Meridian Cost Consultants | Report Date: 16 May 2026</v>
      </c>
      <c r="B2" s="53"/>
      <c r="C2" s="53"/>
      <c r="D2" s="53"/>
      <c r="E2" s="53"/>
      <c r="F2" s="53"/>
      <c r="G2" s="53"/>
      <c r="H2" s="53"/>
      <c r="I2" s="53"/>
      <c r="J2" s="53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55</v>
      </c>
      <c r="C5" s="33">
        <f>SUM(C6:C7)</f>
        <v>525000</v>
      </c>
      <c r="D5" s="33">
        <f t="shared" ref="D5:H5" si="0">SUM(D6:D7)</f>
        <v>0</v>
      </c>
      <c r="E5" s="33">
        <f t="shared" si="0"/>
        <v>525000</v>
      </c>
      <c r="F5" s="33">
        <f t="shared" si="0"/>
        <v>525000</v>
      </c>
      <c r="G5" s="33">
        <f t="shared" si="0"/>
        <v>505000</v>
      </c>
      <c r="H5" s="33">
        <f t="shared" si="0"/>
        <v>545000</v>
      </c>
      <c r="I5" s="48">
        <f>E5-H5</f>
        <v>-20000</v>
      </c>
      <c r="J5" s="11">
        <f>SUMPRODUCT(E6:E7, J6:J7)/SUM(E6:E7)</f>
        <v>1</v>
      </c>
    </row>
    <row r="6" spans="1:10" hidden="1" outlineLevel="1" x14ac:dyDescent="0.4">
      <c r="A6" s="9" t="s">
        <v>21</v>
      </c>
      <c r="B6" s="5" t="s">
        <v>56</v>
      </c>
      <c r="C6" s="34">
        <v>225000</v>
      </c>
      <c r="D6" s="34"/>
      <c r="E6" s="34">
        <f t="shared" ref="E6:E25" si="1">C6+D6</f>
        <v>225000</v>
      </c>
      <c r="F6" s="34">
        <v>225000</v>
      </c>
      <c r="G6" s="34">
        <v>225000</v>
      </c>
      <c r="H6" s="34">
        <v>225000</v>
      </c>
      <c r="I6" s="49">
        <f t="shared" ref="I6:I25" si="2">E6-H6</f>
        <v>0</v>
      </c>
      <c r="J6" s="12">
        <v>1</v>
      </c>
    </row>
    <row r="7" spans="1:10" hidden="1" outlineLevel="1" x14ac:dyDescent="0.4">
      <c r="A7" s="10" t="s">
        <v>22</v>
      </c>
      <c r="B7" s="6" t="s">
        <v>57</v>
      </c>
      <c r="C7" s="35">
        <v>300000</v>
      </c>
      <c r="D7" s="35"/>
      <c r="E7" s="35">
        <f t="shared" si="1"/>
        <v>300000</v>
      </c>
      <c r="F7" s="35">
        <v>300000</v>
      </c>
      <c r="G7" s="35">
        <v>280000</v>
      </c>
      <c r="H7" s="35">
        <v>320000</v>
      </c>
      <c r="I7" s="50">
        <f t="shared" si="2"/>
        <v>-20000</v>
      </c>
      <c r="J7" s="13">
        <v>1</v>
      </c>
    </row>
    <row r="8" spans="1:10" collapsed="1" x14ac:dyDescent="0.4">
      <c r="A8" s="8" t="s">
        <v>23</v>
      </c>
      <c r="B8" s="3" t="s">
        <v>58</v>
      </c>
      <c r="C8" s="33">
        <f>SUM(C9:C11)</f>
        <v>1050000</v>
      </c>
      <c r="D8" s="33">
        <f t="shared" ref="D8:H8" si="3">SUM(D9:D11)</f>
        <v>45000</v>
      </c>
      <c r="E8" s="33">
        <f t="shared" si="3"/>
        <v>1095000</v>
      </c>
      <c r="F8" s="33">
        <f t="shared" si="3"/>
        <v>1095000</v>
      </c>
      <c r="G8" s="33">
        <f t="shared" si="3"/>
        <v>990000</v>
      </c>
      <c r="H8" s="33">
        <f t="shared" si="3"/>
        <v>1120000</v>
      </c>
      <c r="I8" s="48">
        <f>E8-H8</f>
        <v>-25000</v>
      </c>
      <c r="J8" s="11">
        <f>SUMPRODUCT(E9:E11,J9:J11)/SUM(E9:E11)</f>
        <v>0.95479452054794522</v>
      </c>
    </row>
    <row r="9" spans="1:10" hidden="1" outlineLevel="1" x14ac:dyDescent="0.4">
      <c r="A9" s="9" t="s">
        <v>24</v>
      </c>
      <c r="B9" s="5" t="s">
        <v>59</v>
      </c>
      <c r="C9" s="34">
        <v>375000</v>
      </c>
      <c r="D9" s="34"/>
      <c r="E9" s="34">
        <f t="shared" si="1"/>
        <v>375000</v>
      </c>
      <c r="F9" s="34">
        <v>375000</v>
      </c>
      <c r="G9" s="34">
        <v>375000</v>
      </c>
      <c r="H9" s="34">
        <v>375000</v>
      </c>
      <c r="I9" s="49">
        <f t="shared" si="2"/>
        <v>0</v>
      </c>
      <c r="J9" s="12">
        <v>1</v>
      </c>
    </row>
    <row r="10" spans="1:10" hidden="1" outlineLevel="1" x14ac:dyDescent="0.4">
      <c r="A10" s="10" t="s">
        <v>25</v>
      </c>
      <c r="B10" s="6" t="s">
        <v>60</v>
      </c>
      <c r="C10" s="35">
        <v>450000</v>
      </c>
      <c r="D10" s="35"/>
      <c r="E10" s="35">
        <f t="shared" si="1"/>
        <v>450000</v>
      </c>
      <c r="F10" s="35">
        <v>450000</v>
      </c>
      <c r="G10" s="35">
        <v>405000</v>
      </c>
      <c r="H10" s="35">
        <v>465000</v>
      </c>
      <c r="I10" s="50">
        <f t="shared" si="2"/>
        <v>-15000</v>
      </c>
      <c r="J10" s="13">
        <v>0.95</v>
      </c>
    </row>
    <row r="11" spans="1:10" hidden="1" outlineLevel="1" x14ac:dyDescent="0.4">
      <c r="A11" s="9" t="s">
        <v>26</v>
      </c>
      <c r="B11" s="5" t="s">
        <v>61</v>
      </c>
      <c r="C11" s="34">
        <v>225000</v>
      </c>
      <c r="D11" s="34">
        <v>45000</v>
      </c>
      <c r="E11" s="34">
        <f t="shared" si="1"/>
        <v>270000</v>
      </c>
      <c r="F11" s="34">
        <v>270000</v>
      </c>
      <c r="G11" s="34">
        <v>210000</v>
      </c>
      <c r="H11" s="34">
        <v>280000</v>
      </c>
      <c r="I11" s="49">
        <f t="shared" si="2"/>
        <v>-10000</v>
      </c>
      <c r="J11" s="12">
        <v>0.9</v>
      </c>
    </row>
    <row r="12" spans="1:10" collapsed="1" x14ac:dyDescent="0.4">
      <c r="A12" s="8" t="s">
        <v>27</v>
      </c>
      <c r="B12" s="3" t="s">
        <v>62</v>
      </c>
      <c r="C12" s="33">
        <f>SUM(C13:C15)</f>
        <v>1275000</v>
      </c>
      <c r="D12" s="33">
        <f t="shared" ref="D12:H12" si="4">SUM(D13:D15)</f>
        <v>0</v>
      </c>
      <c r="E12" s="33">
        <f t="shared" si="4"/>
        <v>1275000</v>
      </c>
      <c r="F12" s="33">
        <f t="shared" si="4"/>
        <v>1031250</v>
      </c>
      <c r="G12" s="33">
        <f t="shared" si="4"/>
        <v>742500</v>
      </c>
      <c r="H12" s="33">
        <f t="shared" si="4"/>
        <v>1290000</v>
      </c>
      <c r="I12" s="48">
        <f t="shared" si="2"/>
        <v>-15000</v>
      </c>
      <c r="J12" s="11">
        <f>SUMPRODUCT(E13:E15,J13:J15)/SUM(E13:E15)</f>
        <v>0.53529411764705881</v>
      </c>
    </row>
    <row r="13" spans="1:10" hidden="1" outlineLevel="1" x14ac:dyDescent="0.4">
      <c r="A13" s="9" t="s">
        <v>28</v>
      </c>
      <c r="B13" s="5" t="s">
        <v>63</v>
      </c>
      <c r="C13" s="34">
        <v>450000</v>
      </c>
      <c r="D13" s="34"/>
      <c r="E13" s="34">
        <f t="shared" si="1"/>
        <v>450000</v>
      </c>
      <c r="F13" s="34">
        <v>382500</v>
      </c>
      <c r="G13" s="34">
        <v>270000</v>
      </c>
      <c r="H13" s="34">
        <v>450000</v>
      </c>
      <c r="I13" s="49">
        <f t="shared" si="2"/>
        <v>0</v>
      </c>
      <c r="J13" s="12">
        <v>0.55000000000000004</v>
      </c>
    </row>
    <row r="14" spans="1:10" hidden="1" outlineLevel="1" x14ac:dyDescent="0.4">
      <c r="A14" s="10" t="s">
        <v>29</v>
      </c>
      <c r="B14" s="6" t="s">
        <v>64</v>
      </c>
      <c r="C14" s="35">
        <v>600000</v>
      </c>
      <c r="D14" s="35"/>
      <c r="E14" s="35">
        <f t="shared" si="1"/>
        <v>600000</v>
      </c>
      <c r="F14" s="35">
        <v>480000</v>
      </c>
      <c r="G14" s="35">
        <v>360000</v>
      </c>
      <c r="H14" s="35">
        <v>615000</v>
      </c>
      <c r="I14" s="50">
        <f t="shared" si="2"/>
        <v>-15000</v>
      </c>
      <c r="J14" s="13">
        <v>0.5</v>
      </c>
    </row>
    <row r="15" spans="1:10" hidden="1" outlineLevel="1" x14ac:dyDescent="0.4">
      <c r="A15" s="9" t="s">
        <v>53</v>
      </c>
      <c r="B15" s="5" t="s">
        <v>65</v>
      </c>
      <c r="C15" s="34">
        <v>225000</v>
      </c>
      <c r="D15" s="34"/>
      <c r="E15" s="34">
        <f t="shared" si="1"/>
        <v>225000</v>
      </c>
      <c r="F15" s="34">
        <v>168750</v>
      </c>
      <c r="G15" s="34">
        <v>112500</v>
      </c>
      <c r="H15" s="34">
        <v>225000</v>
      </c>
      <c r="I15" s="49">
        <f t="shared" si="2"/>
        <v>0</v>
      </c>
      <c r="J15" s="12">
        <v>0.6</v>
      </c>
    </row>
    <row r="16" spans="1:10" collapsed="1" x14ac:dyDescent="0.4">
      <c r="A16" s="8" t="s">
        <v>30</v>
      </c>
      <c r="B16" s="3" t="s">
        <v>66</v>
      </c>
      <c r="C16" s="33">
        <f>SUM(C17:C18)</f>
        <v>525000</v>
      </c>
      <c r="D16" s="33">
        <f t="shared" ref="D16:H16" si="5">SUM(D17:D18)</f>
        <v>0</v>
      </c>
      <c r="E16" s="33">
        <f t="shared" si="5"/>
        <v>525000</v>
      </c>
      <c r="F16" s="33">
        <f t="shared" si="5"/>
        <v>292500</v>
      </c>
      <c r="G16" s="33">
        <f t="shared" si="5"/>
        <v>146250</v>
      </c>
      <c r="H16" s="33">
        <f t="shared" si="5"/>
        <v>525000</v>
      </c>
      <c r="I16" s="48">
        <f t="shared" si="2"/>
        <v>0</v>
      </c>
      <c r="J16" s="11">
        <f>SUMPRODUCT(E17:E18,J17:J18)/SUM(E17:E18)</f>
        <v>0.37857142857142856</v>
      </c>
    </row>
    <row r="17" spans="1:10" hidden="1" outlineLevel="1" x14ac:dyDescent="0.4">
      <c r="A17" s="9" t="s">
        <v>47</v>
      </c>
      <c r="B17" s="5" t="s">
        <v>67</v>
      </c>
      <c r="C17" s="34">
        <v>300000</v>
      </c>
      <c r="D17" s="34"/>
      <c r="E17" s="34">
        <f t="shared" si="1"/>
        <v>300000</v>
      </c>
      <c r="F17" s="34">
        <v>180000</v>
      </c>
      <c r="G17" s="34">
        <v>90000</v>
      </c>
      <c r="H17" s="34">
        <v>300000</v>
      </c>
      <c r="I17" s="49">
        <f t="shared" si="2"/>
        <v>0</v>
      </c>
      <c r="J17" s="12">
        <v>0.4</v>
      </c>
    </row>
    <row r="18" spans="1:10" hidden="1" outlineLevel="1" x14ac:dyDescent="0.4">
      <c r="A18" s="10" t="s">
        <v>48</v>
      </c>
      <c r="B18" s="6" t="s">
        <v>68</v>
      </c>
      <c r="C18" s="35">
        <v>225000</v>
      </c>
      <c r="D18" s="35"/>
      <c r="E18" s="35">
        <f t="shared" si="1"/>
        <v>225000</v>
      </c>
      <c r="F18" s="35">
        <v>112500</v>
      </c>
      <c r="G18" s="35">
        <v>56250</v>
      </c>
      <c r="H18" s="35">
        <v>225000</v>
      </c>
      <c r="I18" s="50">
        <f t="shared" si="2"/>
        <v>0</v>
      </c>
      <c r="J18" s="13">
        <v>0.35</v>
      </c>
    </row>
    <row r="19" spans="1:10" collapsed="1" x14ac:dyDescent="0.4">
      <c r="A19" s="8" t="s">
        <v>31</v>
      </c>
      <c r="B19" s="3" t="s">
        <v>69</v>
      </c>
      <c r="C19" s="33">
        <f>SUM(C20:C22)</f>
        <v>2700000</v>
      </c>
      <c r="D19" s="33">
        <f t="shared" ref="D19:H19" si="6">SUM(D20:D22)</f>
        <v>100000</v>
      </c>
      <c r="E19" s="33">
        <f t="shared" si="6"/>
        <v>2800000</v>
      </c>
      <c r="F19" s="33">
        <f t="shared" si="6"/>
        <v>2583500</v>
      </c>
      <c r="G19" s="33">
        <f t="shared" si="6"/>
        <v>1872000</v>
      </c>
      <c r="H19" s="33">
        <f t="shared" si="6"/>
        <v>2825000</v>
      </c>
      <c r="I19" s="48">
        <f t="shared" si="2"/>
        <v>-25000</v>
      </c>
      <c r="J19" s="11">
        <f>SUMPRODUCT(E20:E22,J20:J22)/SUM(E20:E22)</f>
        <v>0.61478571428571427</v>
      </c>
    </row>
    <row r="20" spans="1:10" hidden="1" outlineLevel="1" x14ac:dyDescent="0.4">
      <c r="A20" s="9" t="s">
        <v>32</v>
      </c>
      <c r="B20" s="5" t="s">
        <v>70</v>
      </c>
      <c r="C20" s="34">
        <v>1350000</v>
      </c>
      <c r="D20" s="34">
        <v>68000</v>
      </c>
      <c r="E20" s="34">
        <f t="shared" si="1"/>
        <v>1418000</v>
      </c>
      <c r="F20" s="34">
        <v>1282500</v>
      </c>
      <c r="G20" s="34">
        <v>945000</v>
      </c>
      <c r="H20" s="34">
        <v>1420000</v>
      </c>
      <c r="I20" s="49">
        <f t="shared" si="2"/>
        <v>-2000</v>
      </c>
      <c r="J20" s="12">
        <v>0.5</v>
      </c>
    </row>
    <row r="21" spans="1:10" hidden="1" outlineLevel="1" x14ac:dyDescent="0.4">
      <c r="A21" s="10" t="s">
        <v>33</v>
      </c>
      <c r="B21" s="6" t="s">
        <v>71</v>
      </c>
      <c r="C21" s="35">
        <v>1050000</v>
      </c>
      <c r="D21" s="35">
        <v>32000</v>
      </c>
      <c r="E21" s="35">
        <f t="shared" si="1"/>
        <v>1082000</v>
      </c>
      <c r="F21" s="35">
        <v>1016000</v>
      </c>
      <c r="G21" s="35">
        <v>756000</v>
      </c>
      <c r="H21" s="35">
        <v>1095000</v>
      </c>
      <c r="I21" s="50">
        <f t="shared" si="2"/>
        <v>-13000</v>
      </c>
      <c r="J21" s="13">
        <v>0.7</v>
      </c>
    </row>
    <row r="22" spans="1:10" hidden="1" outlineLevel="1" x14ac:dyDescent="0.4">
      <c r="A22" s="9" t="s">
        <v>54</v>
      </c>
      <c r="B22" s="5" t="s">
        <v>72</v>
      </c>
      <c r="C22" s="34">
        <v>300000</v>
      </c>
      <c r="D22" s="34"/>
      <c r="E22" s="34">
        <f t="shared" si="1"/>
        <v>300000</v>
      </c>
      <c r="F22" s="34">
        <v>285000</v>
      </c>
      <c r="G22" s="34">
        <v>171000</v>
      </c>
      <c r="H22" s="34">
        <v>310000</v>
      </c>
      <c r="I22" s="49">
        <f t="shared" si="2"/>
        <v>-10000</v>
      </c>
      <c r="J22" s="12">
        <v>0.85</v>
      </c>
    </row>
    <row r="23" spans="1:10" collapsed="1" x14ac:dyDescent="0.4">
      <c r="A23" s="8" t="s">
        <v>34</v>
      </c>
      <c r="B23" s="3" t="s">
        <v>73</v>
      </c>
      <c r="C23" s="33">
        <v>225000</v>
      </c>
      <c r="D23" s="33"/>
      <c r="E23" s="33">
        <f t="shared" si="1"/>
        <v>225000</v>
      </c>
      <c r="F23" s="33">
        <v>112500</v>
      </c>
      <c r="G23" s="33">
        <v>0</v>
      </c>
      <c r="H23" s="33">
        <v>225000</v>
      </c>
      <c r="I23" s="48">
        <f t="shared" si="2"/>
        <v>0</v>
      </c>
      <c r="J23" s="11">
        <v>0.1</v>
      </c>
    </row>
    <row r="24" spans="1:10" x14ac:dyDescent="0.4">
      <c r="A24" s="8" t="s">
        <v>35</v>
      </c>
      <c r="B24" s="3" t="s">
        <v>37</v>
      </c>
      <c r="C24" s="33">
        <v>900000</v>
      </c>
      <c r="D24" s="33">
        <v>55000</v>
      </c>
      <c r="E24" s="33">
        <f t="shared" si="1"/>
        <v>955000</v>
      </c>
      <c r="F24" s="33">
        <v>955000</v>
      </c>
      <c r="G24" s="33">
        <v>637500</v>
      </c>
      <c r="H24" s="33">
        <v>980000</v>
      </c>
      <c r="I24" s="48">
        <f t="shared" si="2"/>
        <v>-25000</v>
      </c>
      <c r="J24" s="11">
        <v>0.6</v>
      </c>
    </row>
    <row r="25" spans="1:10" x14ac:dyDescent="0.4">
      <c r="A25" s="8" t="s">
        <v>36</v>
      </c>
      <c r="B25" s="3" t="s">
        <v>38</v>
      </c>
      <c r="C25" s="33">
        <v>300000</v>
      </c>
      <c r="D25" s="33"/>
      <c r="E25" s="33">
        <f t="shared" si="1"/>
        <v>300000</v>
      </c>
      <c r="F25" s="33">
        <v>0</v>
      </c>
      <c r="G25" s="33">
        <v>0</v>
      </c>
      <c r="H25" s="33">
        <v>250000</v>
      </c>
      <c r="I25" s="48">
        <f t="shared" si="2"/>
        <v>50000</v>
      </c>
      <c r="J25" s="11">
        <v>0</v>
      </c>
    </row>
    <row r="26" spans="1:10" x14ac:dyDescent="0.4">
      <c r="B26" s="4" t="s">
        <v>39</v>
      </c>
      <c r="C26" s="36">
        <f>SUM(C5,C8,C12,C16,C19,C23,C24,C25)</f>
        <v>7500000</v>
      </c>
      <c r="D26" s="36">
        <f t="shared" ref="D26:E26" si="7">SUM(D5,D8,D12,D16,D19,D23,D24,D25)</f>
        <v>200000</v>
      </c>
      <c r="E26" s="36">
        <f t="shared" si="7"/>
        <v>7700000</v>
      </c>
      <c r="F26" s="36">
        <f t="shared" ref="F26:H26" si="8">SUM(F5,F8,F12,F16,F19,F23,F24,F25)</f>
        <v>6594750</v>
      </c>
      <c r="G26" s="36">
        <f>SUM(G5,G8,G12,G16,G19,G23,G24,G25)</f>
        <v>4893250</v>
      </c>
      <c r="H26" s="36">
        <f t="shared" si="8"/>
        <v>7760000</v>
      </c>
      <c r="I26" s="51">
        <f>E26-H26</f>
        <v>-60000</v>
      </c>
      <c r="J26" s="14">
        <f>SUMPRODUCT(E5:E25,J5:J25)/SUM(E5:E25)</f>
        <v>0.64237068965517241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19 J19 F19:H19" formulaRange="1"/>
    <ignoredError sqref="E6:E2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workbookViewId="0">
      <selection activeCell="I12" sqref="I1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2" t="s">
        <v>74</v>
      </c>
      <c r="B1" s="52"/>
      <c r="C1" s="52"/>
      <c r="D1" s="52"/>
      <c r="E1" s="52"/>
      <c r="F1" s="52"/>
      <c r="G1" s="52"/>
    </row>
    <row r="2" spans="1:7" ht="25" customHeight="1" x14ac:dyDescent="0.4">
      <c r="A2" s="53" t="s">
        <v>75</v>
      </c>
      <c r="B2" s="53"/>
      <c r="C2" s="53"/>
      <c r="D2" s="53"/>
      <c r="E2" s="53"/>
      <c r="F2" s="53"/>
      <c r="G2" s="53"/>
    </row>
    <row r="4" spans="1:7" x14ac:dyDescent="0.4">
      <c r="A4" s="37" t="s">
        <v>40</v>
      </c>
      <c r="B4" s="38" t="s">
        <v>41</v>
      </c>
      <c r="C4" s="38" t="s">
        <v>42</v>
      </c>
      <c r="D4" s="38" t="s">
        <v>43</v>
      </c>
      <c r="E4" s="38" t="s">
        <v>44</v>
      </c>
      <c r="F4" s="38" t="s">
        <v>45</v>
      </c>
      <c r="G4" s="39" t="s">
        <v>46</v>
      </c>
    </row>
    <row r="5" spans="1:7" x14ac:dyDescent="0.4">
      <c r="A5" s="42">
        <v>45839</v>
      </c>
      <c r="B5" s="43">
        <v>920000</v>
      </c>
      <c r="C5" s="43">
        <v>980000</v>
      </c>
      <c r="D5" s="44">
        <f>B5-C5</f>
        <v>-60000</v>
      </c>
      <c r="E5" s="45">
        <f>D5/B5</f>
        <v>-6.5217391304347824E-2</v>
      </c>
      <c r="F5" s="46">
        <f>B5/C5</f>
        <v>0.93877551020408168</v>
      </c>
      <c r="G5" s="47">
        <f>'Cost Plan'!$E$26/F5</f>
        <v>8202173.9130434776</v>
      </c>
    </row>
    <row r="6" spans="1:7" x14ac:dyDescent="0.4">
      <c r="A6" s="19">
        <v>45870</v>
      </c>
      <c r="B6" s="20">
        <v>1680000</v>
      </c>
      <c r="C6" s="20">
        <v>1780000</v>
      </c>
      <c r="D6" s="24">
        <f t="shared" ref="D6:D10" si="0">B6-C6</f>
        <v>-100000</v>
      </c>
      <c r="E6" s="21">
        <f t="shared" ref="E6:E10" si="1">D6/B6</f>
        <v>-5.9523809523809521E-2</v>
      </c>
      <c r="F6" s="41">
        <f t="shared" ref="F6:F10" si="2">B6/C6</f>
        <v>0.9438202247191011</v>
      </c>
      <c r="G6" s="22">
        <f>'Cost Plan'!$E$26/F6</f>
        <v>8158333.333333334</v>
      </c>
    </row>
    <row r="7" spans="1:7" x14ac:dyDescent="0.4">
      <c r="A7" s="15">
        <v>45901</v>
      </c>
      <c r="B7" s="16">
        <v>2450000</v>
      </c>
      <c r="C7" s="16">
        <v>2590000</v>
      </c>
      <c r="D7" s="23">
        <f t="shared" si="0"/>
        <v>-140000</v>
      </c>
      <c r="E7" s="17">
        <f t="shared" si="1"/>
        <v>-5.7142857142857141E-2</v>
      </c>
      <c r="F7" s="40">
        <f t="shared" si="2"/>
        <v>0.94594594594594594</v>
      </c>
      <c r="G7" s="18">
        <f>'Cost Plan'!$E$26/F7</f>
        <v>8140000</v>
      </c>
    </row>
    <row r="8" spans="1:7" x14ac:dyDescent="0.4">
      <c r="A8" s="19">
        <v>45931</v>
      </c>
      <c r="B8" s="20">
        <v>3280000</v>
      </c>
      <c r="C8" s="20">
        <v>3450000</v>
      </c>
      <c r="D8" s="24">
        <f t="shared" si="0"/>
        <v>-170000</v>
      </c>
      <c r="E8" s="21">
        <f t="shared" si="1"/>
        <v>-5.1829268292682924E-2</v>
      </c>
      <c r="F8" s="41">
        <f t="shared" si="2"/>
        <v>0.95072463768115945</v>
      </c>
      <c r="G8" s="22">
        <f>'Cost Plan'!$E$26/F8</f>
        <v>8099085.3658536579</v>
      </c>
    </row>
    <row r="9" spans="1:7" x14ac:dyDescent="0.4">
      <c r="A9" s="15">
        <v>45962</v>
      </c>
      <c r="B9" s="16">
        <v>4100000</v>
      </c>
      <c r="C9" s="16">
        <v>4280000</v>
      </c>
      <c r="D9" s="23">
        <f t="shared" si="0"/>
        <v>-180000</v>
      </c>
      <c r="E9" s="17">
        <f t="shared" si="1"/>
        <v>-4.3902439024390241E-2</v>
      </c>
      <c r="F9" s="40">
        <f t="shared" si="2"/>
        <v>0.95794392523364491</v>
      </c>
      <c r="G9" s="18">
        <f>'Cost Plan'!$E$26/F9</f>
        <v>8038048.7804878047</v>
      </c>
    </row>
    <row r="10" spans="1:7" x14ac:dyDescent="0.4">
      <c r="A10" s="19">
        <v>45992</v>
      </c>
      <c r="B10" s="20">
        <v>4850000</v>
      </c>
      <c r="C10" s="20">
        <v>5050000</v>
      </c>
      <c r="D10" s="24">
        <f t="shared" si="0"/>
        <v>-200000</v>
      </c>
      <c r="E10" s="21">
        <f t="shared" si="1"/>
        <v>-4.1237113402061855E-2</v>
      </c>
      <c r="F10" s="41">
        <f t="shared" si="2"/>
        <v>0.96039603960396036</v>
      </c>
      <c r="G10" s="22">
        <f>'Cost Plan'!$E$26/F10</f>
        <v>8017525.7731958767</v>
      </c>
    </row>
    <row r="11" spans="1:7" x14ac:dyDescent="0.4">
      <c r="A11" s="15">
        <v>46023</v>
      </c>
      <c r="B11" s="16">
        <v>5520000</v>
      </c>
      <c r="C11" s="16">
        <v>5740000</v>
      </c>
      <c r="D11" s="23">
        <f t="shared" ref="D11:D13" si="3">B11-C11</f>
        <v>-220000</v>
      </c>
      <c r="E11" s="17">
        <f t="shared" ref="E11:E13" si="4">D11/B11</f>
        <v>-3.9855072463768113E-2</v>
      </c>
      <c r="F11" s="40">
        <f t="shared" ref="F11:F13" si="5">B11/C11</f>
        <v>0.9616724738675958</v>
      </c>
      <c r="G11" s="18">
        <f>'Cost Plan'!$E$26/F11</f>
        <v>8006884.0579710146</v>
      </c>
    </row>
    <row r="12" spans="1:7" x14ac:dyDescent="0.4">
      <c r="A12" s="19">
        <v>46054</v>
      </c>
      <c r="B12" s="20">
        <v>6180000</v>
      </c>
      <c r="C12" s="20">
        <v>6420000</v>
      </c>
      <c r="D12" s="24">
        <f t="shared" si="3"/>
        <v>-240000</v>
      </c>
      <c r="E12" s="21">
        <f t="shared" si="4"/>
        <v>-3.8834951456310676E-2</v>
      </c>
      <c r="F12" s="41">
        <f t="shared" si="5"/>
        <v>0.96261682242990654</v>
      </c>
      <c r="G12" s="22">
        <f>'Cost Plan'!$E$26/F12</f>
        <v>7999029.1262135925</v>
      </c>
    </row>
    <row r="13" spans="1:7" x14ac:dyDescent="0.4">
      <c r="A13" s="15">
        <v>46082</v>
      </c>
      <c r="B13" s="16">
        <v>6720000</v>
      </c>
      <c r="C13" s="16">
        <v>6980000</v>
      </c>
      <c r="D13" s="23">
        <f t="shared" si="3"/>
        <v>-260000</v>
      </c>
      <c r="E13" s="17">
        <f t="shared" si="4"/>
        <v>-3.8690476190476192E-2</v>
      </c>
      <c r="F13" s="40">
        <f t="shared" si="5"/>
        <v>0.96275071633237819</v>
      </c>
      <c r="G13" s="18">
        <f>'Cost Plan'!$E$26/F13</f>
        <v>7997916.666666667</v>
      </c>
    </row>
    <row r="14" spans="1:7" x14ac:dyDescent="0.4">
      <c r="A14" s="19"/>
      <c r="B14" s="20"/>
      <c r="C14" s="20"/>
      <c r="D14" s="24"/>
      <c r="E14" s="21"/>
      <c r="F14" s="41"/>
      <c r="G14" s="20"/>
    </row>
    <row r="15" spans="1:7" x14ac:dyDescent="0.4">
      <c r="A15" s="19"/>
      <c r="B15" s="20"/>
      <c r="C15" s="20"/>
      <c r="D15" s="24"/>
      <c r="E15" s="21"/>
      <c r="F15" s="41"/>
      <c r="G15" s="20"/>
    </row>
    <row r="16" spans="1:7" x14ac:dyDescent="0.4">
      <c r="A16" s="19"/>
      <c r="B16" s="20"/>
      <c r="C16" s="20"/>
      <c r="D16" s="24"/>
      <c r="E16" s="21"/>
      <c r="F16" s="41"/>
      <c r="G16" s="20"/>
    </row>
    <row r="17" spans="1:7" x14ac:dyDescent="0.4">
      <c r="A17" s="19"/>
      <c r="B17" s="20"/>
      <c r="C17" s="20"/>
      <c r="D17" s="24"/>
      <c r="E17" s="21"/>
      <c r="F17" s="41"/>
      <c r="G17" s="20"/>
    </row>
    <row r="18" spans="1:7" x14ac:dyDescent="0.4">
      <c r="A18" s="19"/>
      <c r="B18" s="20"/>
      <c r="C18" s="20"/>
      <c r="D18" s="24"/>
      <c r="E18" s="21"/>
      <c r="F18" s="41"/>
      <c r="G18" s="20"/>
    </row>
    <row r="19" spans="1:7" x14ac:dyDescent="0.4">
      <c r="A19" s="19"/>
      <c r="B19" s="20"/>
      <c r="C19" s="20"/>
      <c r="D19" s="24"/>
      <c r="E19" s="21"/>
      <c r="F19" s="41"/>
      <c r="G19" s="20"/>
    </row>
    <row r="20" spans="1:7" x14ac:dyDescent="0.4">
      <c r="A20" s="19"/>
      <c r="B20" s="20"/>
      <c r="C20" s="20"/>
      <c r="D20" s="24"/>
      <c r="E20" s="21"/>
      <c r="F20" s="41"/>
      <c r="G20" s="20"/>
    </row>
    <row r="21" spans="1:7" x14ac:dyDescent="0.4">
      <c r="A21" s="19"/>
      <c r="B21" s="20"/>
      <c r="C21" s="20"/>
      <c r="D21" s="24"/>
      <c r="E21" s="21"/>
      <c r="F21" s="41"/>
      <c r="G21" s="20"/>
    </row>
    <row r="22" spans="1:7" x14ac:dyDescent="0.4">
      <c r="A22" s="19"/>
      <c r="B22" s="20"/>
      <c r="C22" s="20"/>
      <c r="D22" s="24"/>
      <c r="E22" s="21"/>
      <c r="F22" s="41"/>
      <c r="G22" s="20"/>
    </row>
    <row r="23" spans="1:7" x14ac:dyDescent="0.4">
      <c r="A23" s="19"/>
      <c r="B23" s="20"/>
      <c r="C23" s="20"/>
      <c r="D23" s="24"/>
      <c r="E23" s="21"/>
      <c r="F23" s="41"/>
      <c r="G23" s="20"/>
    </row>
    <row r="1048576" spans="2:3" x14ac:dyDescent="0.4">
      <c r="B1048576">
        <f>SUM(B1:B1048575)</f>
        <v>35700000</v>
      </c>
      <c r="C1048576">
        <f>SUM(C1:C1048575)</f>
        <v>37270000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10"/>
  <sheetViews>
    <sheetView tabSelected="1" workbookViewId="0">
      <selection activeCell="B9" sqref="B9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49</v>
      </c>
    </row>
    <row r="2" spans="1:2" x14ac:dyDescent="0.4">
      <c r="A2" s="26" t="s">
        <v>1</v>
      </c>
      <c r="B2" s="28" t="s">
        <v>50</v>
      </c>
    </row>
    <row r="3" spans="1:2" x14ac:dyDescent="0.4">
      <c r="A3" s="25" t="s">
        <v>2</v>
      </c>
      <c r="B3" s="27" t="s">
        <v>51</v>
      </c>
    </row>
    <row r="4" spans="1:2" x14ac:dyDescent="0.4">
      <c r="A4" s="26" t="s">
        <v>3</v>
      </c>
      <c r="B4" s="29">
        <v>7500000</v>
      </c>
    </row>
    <row r="5" spans="1:2" x14ac:dyDescent="0.4">
      <c r="A5" s="25" t="s">
        <v>4</v>
      </c>
      <c r="B5" s="30">
        <v>45352</v>
      </c>
    </row>
    <row r="6" spans="1:2" x14ac:dyDescent="0.4">
      <c r="A6" s="26" t="s">
        <v>5</v>
      </c>
      <c r="B6" s="31">
        <v>45716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0.64237068965517241</v>
      </c>
    </row>
    <row r="10" spans="1:2" x14ac:dyDescent="0.4">
      <c r="A10" s="26" t="s">
        <v>76</v>
      </c>
      <c r="B10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2026-05-16T06:40:57Z</dcterms:modified>
</cp:coreProperties>
</file>